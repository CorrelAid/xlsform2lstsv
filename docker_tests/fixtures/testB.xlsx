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5"/>
    <sheet state="visible" name="projects" sheetId="2" r:id="rId6"/>
    <sheet state="visible" name="roles" sheetId="3" r:id="rId7"/>
    <sheet state="visible" name="choices_fixed" sheetId="4" r:id="rId8"/>
    <sheet state="visible" name="survey_roles" sheetId="5" r:id="rId9"/>
    <sheet state="visible" name="survey_skills" sheetId="6" r:id="rId10"/>
    <sheet state="visible" name="survey_end" sheetId="7" r:id="rId11"/>
    <sheet state="visible" name="choices" sheetId="8" r:id="rId12"/>
    <sheet state="visible" name="settings" sheetId="9" r:id="rId13"/>
    <sheet state="visible" name="survey" sheetId="10" r:id="rId14"/>
  </sheets>
  <definedNames>
    <definedName hidden="1" localSheetId="5" name="Z_B40601AF_B3B7_4C11_8A68_F8AFA1588674_.wvu.FilterData">survey_skills!$A$1:$AA$54</definedName>
  </definedNames>
  <calcPr/>
  <customWorkbookViews>
    <customWorkbookView activeSheetId="0" maximized="1" windowHeight="0" windowWidth="0" guid="{B40601AF-B3B7-4C11-8A68-F8AFA1588674}" name="Survey Custom Skills Only Relevant"/>
  </customWorkbookViews>
</workbook>
</file>

<file path=xl/sharedStrings.xml><?xml version="1.0" encoding="utf-8"?>
<sst xmlns="http://schemas.openxmlformats.org/spreadsheetml/2006/main" count="608" uniqueCount="315">
  <si>
    <t>User instructions</t>
  </si>
  <si>
    <t>manually edit projects and roles</t>
  </si>
  <si>
    <t>if you want to add a new question for tools, techniques or topics, add a new row in survey_skills. (Columns include_in_survey and relevant have formula but those should get extended automatically)</t>
  </si>
  <si>
    <t>Developer notes</t>
  </si>
  <si>
    <t>survey_skills, survey_roles, choices are automatically adapted (using ARRAYFORMULA etc)</t>
  </si>
  <si>
    <t>QUERY in choices$A1 appends the projects, roles and choices_fixed into the choices sheet</t>
  </si>
  <si>
    <t>QUERY in survey$A9 appends the different survey_* sheets into the survey sheet</t>
  </si>
  <si>
    <t>list_name</t>
  </si>
  <si>
    <t>name</t>
  </si>
  <si>
    <t>label::Deutsch (de)</t>
  </si>
  <si>
    <t>label::English (en)</t>
  </si>
  <si>
    <t>mb5co98</t>
  </si>
  <si>
    <t>2026-02-DTC</t>
  </si>
  <si>
    <t>Dare2Care</t>
  </si>
  <si>
    <t>project_id</t>
  </si>
  <si>
    <t>Tools</t>
  </si>
  <si>
    <t>Techniques</t>
  </si>
  <si>
    <t>Topics</t>
  </si>
  <si>
    <t>RefDropdownTools</t>
  </si>
  <si>
    <t>RefDropdownTechniques</t>
  </si>
  <si>
    <t>RefDropdownTopics</t>
  </si>
  <si>
    <t>role-surveydesign-datacollection</t>
  </si>
  <si>
    <t>Sparringspartner*in Surveydesign und Datenerhebung</t>
  </si>
  <si>
    <t>sosci_survey</t>
  </si>
  <si>
    <t>indicator_development, survey_design, theories_of_change_development, data_collection</t>
  </si>
  <si>
    <t>survey_research, research_design, wirkungsmessung, data_protection, education_research, resilience_mental_health</t>
  </si>
  <si>
    <t>iy6st81</t>
  </si>
  <si>
    <t>beginner</t>
  </si>
  <si>
    <t>Anfänger:in</t>
  </si>
  <si>
    <t>Beginner</t>
  </si>
  <si>
    <t>user</t>
  </si>
  <si>
    <t>Benutzer:in</t>
  </si>
  <si>
    <t>User</t>
  </si>
  <si>
    <t>advanced</t>
  </si>
  <si>
    <t>Fortgeschrittene:r</t>
  </si>
  <si>
    <t>Advanced</t>
  </si>
  <si>
    <t>expert</t>
  </si>
  <si>
    <t>Expert:in</t>
  </si>
  <si>
    <t>Expert</t>
  </si>
  <si>
    <t>xe9mo32</t>
  </si>
  <si>
    <t>dm1uu76</t>
  </si>
  <si>
    <t>il2wc73</t>
  </si>
  <si>
    <t>successful</t>
  </si>
  <si>
    <t>Ja, und ich war mindestens einmal erfolgreich / Teil eines Projektteams.</t>
  </si>
  <si>
    <t>Yes, and I have been successful / part of a project team at least once.</t>
  </si>
  <si>
    <t>not_successful</t>
  </si>
  <si>
    <t>Ja, aber ich war nicht erfolgreich / ich wurde bis jetzt immer abgelehnt.</t>
  </si>
  <si>
    <t>Yes, but I have not been successful / all my applications have been rejected so far.</t>
  </si>
  <si>
    <t>first_application</t>
  </si>
  <si>
    <t>Nein, das ist meine erste Bewerbung.</t>
  </si>
  <si>
    <t>No, this is my first application.</t>
  </si>
  <si>
    <t>iy7os66</t>
  </si>
  <si>
    <t>female</t>
  </si>
  <si>
    <t>Weiblich</t>
  </si>
  <si>
    <t>Female</t>
  </si>
  <si>
    <t>male</t>
  </si>
  <si>
    <t>Männlich</t>
  </si>
  <si>
    <t>Male</t>
  </si>
  <si>
    <t>non_binary</t>
  </si>
  <si>
    <t>Nicht-binär / non-binary</t>
  </si>
  <si>
    <t>Non-binary</t>
  </si>
  <si>
    <t>not_disclosed</t>
  </si>
  <si>
    <t>Das möchte ich nicht angeben</t>
  </si>
  <si>
    <t>I do not want to disclose my gender</t>
  </si>
  <si>
    <t>self_identification</t>
  </si>
  <si>
    <t>Mein Geschlecht ist (eigene Angabe):</t>
  </si>
  <si>
    <t>My gender is (manually specify):</t>
  </si>
  <si>
    <t>mj8ty33</t>
  </si>
  <si>
    <t>yes</t>
  </si>
  <si>
    <t>Ja</t>
  </si>
  <si>
    <t>Yes</t>
  </si>
  <si>
    <t>type</t>
  </si>
  <si>
    <t>hint::Deutsch (de)</t>
  </si>
  <si>
    <t>hint::English (en)</t>
  </si>
  <si>
    <t>required</t>
  </si>
  <si>
    <t>appearance</t>
  </si>
  <si>
    <t>relevant</t>
  </si>
  <si>
    <t>constraint</t>
  </si>
  <si>
    <t>constraint_message</t>
  </si>
  <si>
    <t>true</t>
  </si>
  <si>
    <t>include_in_survey</t>
  </si>
  <si>
    <t>Column 1</t>
  </si>
  <si>
    <t>Column 2</t>
  </si>
  <si>
    <t>Column 3</t>
  </si>
  <si>
    <t>Column 4</t>
  </si>
  <si>
    <t>Column 5</t>
  </si>
  <si>
    <t>Column 6</t>
  </si>
  <si>
    <t>Column 7</t>
  </si>
  <si>
    <t>Column 8</t>
  </si>
  <si>
    <t>Column 9</t>
  </si>
  <si>
    <t>Column 10</t>
  </si>
  <si>
    <t>Column 11</t>
  </si>
  <si>
    <t>Column 12</t>
  </si>
  <si>
    <t>Column 13</t>
  </si>
  <si>
    <t>Column 14</t>
  </si>
  <si>
    <t>Column 15</t>
  </si>
  <si>
    <t>begin_group</t>
  </si>
  <si>
    <t>group_lt58n55</t>
  </si>
  <si>
    <t>Deine Fähigkeiten und Erfahrungen</t>
  </si>
  <si>
    <t>Your skills and experiences</t>
  </si>
  <si>
    <t>false</t>
  </si>
  <si>
    <t>rating_technologies_tools</t>
  </si>
  <si>
    <t>select_one iy6st81</t>
  </si>
  <si>
    <t>rating_technologies_tools_header</t>
  </si>
  <si>
    <t>Bitte bewerte Deine Erfahrung mit den folgenden Technologien und Tools:</t>
  </si>
  <si>
    <t>Please rate your experience with the following technologies and tools:</t>
  </si>
  <si>
    <t>Hier kannst du  mehr darüber lesen, wie wir die verschiedenen Erfahrungsstufen definieren: https://docs.correlaid.org/project-manual/data4good-projects#experience-scale</t>
  </si>
  <si>
    <t>Read more about what the different experience labels mean for us: https://docs.correlaid.org/project-manual/data4good-projects#experience-scale</t>
  </si>
  <si>
    <t>label</t>
  </si>
  <si>
    <t>python</t>
  </si>
  <si>
    <t>Python</t>
  </si>
  <si>
    <t>list-nolabel</t>
  </si>
  <si>
    <t>rstats</t>
  </si>
  <si>
    <t>R</t>
  </si>
  <si>
    <t>sql</t>
  </si>
  <si>
    <t>SQL</t>
  </si>
  <si>
    <t>git</t>
  </si>
  <si>
    <t>Git</t>
  </si>
  <si>
    <t>javascript_frontend</t>
  </si>
  <si>
    <t>Javascript (Frontend)</t>
  </si>
  <si>
    <t>html_css</t>
  </si>
  <si>
    <t>HTML/CSS</t>
  </si>
  <si>
    <t>nodejs</t>
  </si>
  <si>
    <t>Node.js</t>
  </si>
  <si>
    <t>excel</t>
  </si>
  <si>
    <t>Microsoft Excel</t>
  </si>
  <si>
    <t>google_sheets</t>
  </si>
  <si>
    <t>Google Sheets</t>
  </si>
  <si>
    <t>lamapoll</t>
  </si>
  <si>
    <t>Lamapoll</t>
  </si>
  <si>
    <t>SoSci Survey</t>
  </si>
  <si>
    <t>powerbi</t>
  </si>
  <si>
    <t>Power BI</t>
  </si>
  <si>
    <t>text</t>
  </si>
  <si>
    <t>tools_other</t>
  </si>
  <si>
    <t>Andere relevante Tools</t>
  </si>
  <si>
    <t>Other relevant tools</t>
  </si>
  <si>
    <t>Bitte gib hier andere Tools an, die du kennst und die du für relevant erachtest.</t>
  </si>
  <si>
    <t>Please specifiy other tools you know that you consider relevant</t>
  </si>
  <si>
    <t>multiline</t>
  </si>
  <si>
    <t>end_group</t>
  </si>
  <si>
    <t>rating_techniques</t>
  </si>
  <si>
    <t>Techniken</t>
  </si>
  <si>
    <t>field-list</t>
  </si>
  <si>
    <t>select_one xe9mo32</t>
  </si>
  <si>
    <t>rating_techniques_header</t>
  </si>
  <si>
    <t>Bitte bewerte Deine Erfahrung mit den folgenden Techniken.</t>
  </si>
  <si>
    <t>Please rate your experience with the following techniques:</t>
  </si>
  <si>
    <t>data_cleaning</t>
  </si>
  <si>
    <t>Datenbereinigung</t>
  </si>
  <si>
    <t>Data cleaning</t>
  </si>
  <si>
    <t>data_anonymization</t>
  </si>
  <si>
    <t>Datenanonymisierung</t>
  </si>
  <si>
    <t>Data anonymization</t>
  </si>
  <si>
    <t>database_management</t>
  </si>
  <si>
    <t>Datenbankmanagement</t>
  </si>
  <si>
    <t>Database management</t>
  </si>
  <si>
    <t>descriptive_statistics</t>
  </si>
  <si>
    <t>Deskriptive Statistik</t>
  </si>
  <si>
    <t>Descriptive statistics</t>
  </si>
  <si>
    <t>data_visualization</t>
  </si>
  <si>
    <t>Datenvisualisierung</t>
  </si>
  <si>
    <t>Data visualization</t>
  </si>
  <si>
    <t>inferential_statistics</t>
  </si>
  <si>
    <t>Inferenzstatistik</t>
  </si>
  <si>
    <t>Inferential statistics</t>
  </si>
  <si>
    <t>regressions_and_modelling</t>
  </si>
  <si>
    <t>Regressionen und Modellierung</t>
  </si>
  <si>
    <t>Regressions and modelling</t>
  </si>
  <si>
    <t>classification</t>
  </si>
  <si>
    <t>Klassifizierung</t>
  </si>
  <si>
    <t>Classification</t>
  </si>
  <si>
    <t>clustering</t>
  </si>
  <si>
    <t>Clustering</t>
  </si>
  <si>
    <t>nlp</t>
  </si>
  <si>
    <t>Natural Language Processing</t>
  </si>
  <si>
    <t>neural_networks_and_deep_learn</t>
  </si>
  <si>
    <t>Neuronale Netze/Deep Learning</t>
  </si>
  <si>
    <t>Neural networks / Deep Learning</t>
  </si>
  <si>
    <t>image_data_processing</t>
  </si>
  <si>
    <t>Verarbeitung von Bilddateien</t>
  </si>
  <si>
    <t>Processing of image data</t>
  </si>
  <si>
    <t>audio_data_processing</t>
  </si>
  <si>
    <t>Verarbeitungen von Audiodateien</t>
  </si>
  <si>
    <t>Processing of audio data</t>
  </si>
  <si>
    <t>survey_design</t>
  </si>
  <si>
    <t>Entwicklung von Fragebögen</t>
  </si>
  <si>
    <t>Survey design</t>
  </si>
  <si>
    <t>theories_of_change_development</t>
  </si>
  <si>
    <t>Entwicklung von Wirkungsketten</t>
  </si>
  <si>
    <t>Development of Theories of Change</t>
  </si>
  <si>
    <t>indicator_development</t>
  </si>
  <si>
    <t>Entwicklung von Indikatoren</t>
  </si>
  <si>
    <t>Development of indicators</t>
  </si>
  <si>
    <t>data_collection</t>
  </si>
  <si>
    <t>Datenerhebung</t>
  </si>
  <si>
    <t>Data collection</t>
  </si>
  <si>
    <t>data_engineering</t>
  </si>
  <si>
    <t>Data Engineering</t>
  </si>
  <si>
    <t>automation</t>
  </si>
  <si>
    <t>Automatisierung</t>
  </si>
  <si>
    <t>Automatation</t>
  </si>
  <si>
    <t>rating_topics</t>
  </si>
  <si>
    <t>Themen</t>
  </si>
  <si>
    <t>select_one dm1uu76</t>
  </si>
  <si>
    <t>rating_topics_header</t>
  </si>
  <si>
    <t>Bitte bewerte Deine Erfahrung mit den folgenden Themen:</t>
  </si>
  <si>
    <t>Please rate your experience with the following topics:</t>
  </si>
  <si>
    <t>wirkungsmessung</t>
  </si>
  <si>
    <t>Wirkungsmessung</t>
  </si>
  <si>
    <t>Impact Measurement</t>
  </si>
  <si>
    <t>research_design</t>
  </si>
  <si>
    <t>Research Design</t>
  </si>
  <si>
    <t>survey_research</t>
  </si>
  <si>
    <t>Umfrageforschung</t>
  </si>
  <si>
    <t>Survey Research</t>
  </si>
  <si>
    <t>data_protection</t>
  </si>
  <si>
    <t>Datenschutz</t>
  </si>
  <si>
    <t>Data protection</t>
  </si>
  <si>
    <t>data_security</t>
  </si>
  <si>
    <t>Datensicherheit</t>
  </si>
  <si>
    <t>Data security</t>
  </si>
  <si>
    <t>working_agile</t>
  </si>
  <si>
    <t>Agiles Arbeiten</t>
  </si>
  <si>
    <t>Working agile</t>
  </si>
  <si>
    <t>project_management</t>
  </si>
  <si>
    <t>Projektmanagement</t>
  </si>
  <si>
    <t>Project management</t>
  </si>
  <si>
    <t>ethical_critical_ai</t>
  </si>
  <si>
    <t>Ethical AI/Critical AI</t>
  </si>
  <si>
    <t>data_ethics</t>
  </si>
  <si>
    <t>Datenethik</t>
  </si>
  <si>
    <t>Data Ethics</t>
  </si>
  <si>
    <t>resilience_mental_health</t>
  </si>
  <si>
    <t>Resilienz und Mentale Gesundheit</t>
  </si>
  <si>
    <t>Resilience and mental health</t>
  </si>
  <si>
    <t>education_research</t>
  </si>
  <si>
    <t>Bildungsforschung o.ä.</t>
  </si>
  <si>
    <t>Education research (or similar)</t>
  </si>
  <si>
    <t>group_pr7pr34</t>
  </si>
  <si>
    <t>Du und das Projekt</t>
  </si>
  <si>
    <t>You and the project</t>
  </si>
  <si>
    <t>motivation_skills</t>
  </si>
  <si>
    <t>Bitte beschreibe hier, welche Deiner Fähigkeiten und Erfahrungen Dich besonders für die Teilnahme an diesem Projekt qualifizieren.</t>
  </si>
  <si>
    <t>Please describe here what skills and experiences you would bring to the project.</t>
  </si>
  <si>
    <t>Bitte schreibe maximal 5 Sätze pro Projekt, auf das du dich bewerben möchtest.</t>
  </si>
  <si>
    <t>Please write maximum 5 sentences per project that you are applying to.</t>
  </si>
  <si>
    <t>motivation_why</t>
  </si>
  <si>
    <t>Bitte beschreibe hier, warum Du Dich für dieses Projekt engagieren möchtest.</t>
  </si>
  <si>
    <t>Please describe here why you want to get involved in this project.</t>
  </si>
  <si>
    <t>select_one il2wc73</t>
  </si>
  <si>
    <t>past_applications</t>
  </si>
  <si>
    <t>Hast du dich in der Vergangenheit bereits auf CorrelAid-Projekte beworben?</t>
  </si>
  <si>
    <t>Have you applied to a CorrelAid project in the past?</t>
  </si>
  <si>
    <t>Um möglichst vielen Personen die Gelegenheit zu geben, an unseren Projekten teilzunehmen, werden Bewerbungen von bisher unerfolgreichen Personen bei gleicher Eignung bevorzugt behandelt.</t>
  </si>
  <si>
    <t>In order to give as many people as possible the opportunity to participate in one of our projects, applications of individuals who have unsuccessfully applied in the past are preferred given equal suitability for the project.</t>
  </si>
  <si>
    <t>past_applications_details</t>
  </si>
  <si>
    <t>Bitte gib hier an, für welche Projekte du dich beworben hast, falls du dich noch erinnern kannst.</t>
  </si>
  <si>
    <t>If you can remember, please specify which project(s) you have applied for.</t>
  </si>
  <si>
    <t>Grobe Angaben helfen uns auch schon weiter.</t>
  </si>
  <si>
    <t>Any information is helpful to us.</t>
  </si>
  <si>
    <t>${past_applications} = 'not_successful'</t>
  </si>
  <si>
    <t>demographics</t>
  </si>
  <si>
    <t>Über dich</t>
  </si>
  <si>
    <t>About you</t>
  </si>
  <si>
    <t>first_name</t>
  </si>
  <si>
    <t>Wie lautet dein Vorname?</t>
  </si>
  <si>
    <t>What is your first name?</t>
  </si>
  <si>
    <t>last_name</t>
  </si>
  <si>
    <t>Wie lautet dein Nachname?</t>
  </si>
  <si>
    <t>What is your last name?</t>
  </si>
  <si>
    <t>email_address</t>
  </si>
  <si>
    <t>Unter welcher E-Mail Adresse können wir dich erreichen?</t>
  </si>
  <si>
    <t>Which email address can we use to contact you?</t>
  </si>
  <si>
    <t>regex(., '^[\w-\.]+@([\w-]+\.)+[\w-]{2,}$')</t>
  </si>
  <si>
    <t>Please specify a valid email address.</t>
  </si>
  <si>
    <t>select_one iy7os66</t>
  </si>
  <si>
    <t>gender</t>
  </si>
  <si>
    <t>Was ist dein Geschlecht?</t>
  </si>
  <si>
    <t>What is your gender?</t>
  </si>
  <si>
    <t>Hinweis: Da wir bei CorrelAid nach dem Grundprinzip von Geschlechtergleichberechtigung arbeiten, ist diese Frage für uns besonders wichtig.</t>
  </si>
  <si>
    <t>Note: We ask this question because we want to foster gender diversity within CorrelAid.</t>
  </si>
  <si>
    <t>gender_self_identification</t>
  </si>
  <si>
    <t>Mein Geschlecht ist:</t>
  </si>
  <si>
    <t>My gender is:</t>
  </si>
  <si>
    <t>Bitte gebe hier dein Geschlecht an.</t>
  </si>
  <si>
    <t>Please specify your gender here.</t>
  </si>
  <si>
    <t>${gender} = 'self_identification'</t>
  </si>
  <si>
    <t>select_one mj8ty33</t>
  </si>
  <si>
    <t>consent_privacy_policy</t>
  </si>
  <si>
    <t>Einwilligung in die Datenschutzerklärung</t>
  </si>
  <si>
    <t>Consent to privacy policy</t>
  </si>
  <si>
    <t>Ich habe den Disclaimer gelesen und erteile hiermit meine Zustimmung zur Erhebung, Verarbeitung und Nutzung meiner personenbezogener Daten (Geschlecht und persönliche Fähigkeiten) zu internen und externen Reporting- und Präsentationszwecken. Daneben erteile ich ausdrücklich die Erlaubnis meine Kontaktdaten (Name und E-Mail) zur Kontaktaufnahme zu nutzen und diese bei erfolgreicher Bewerbung mit dem Projektteam zu teilen.</t>
  </si>
  <si>
    <t>I have read the disclaimer and hereby give my consent to the collection, processing and use of my personal data (gender and personal skills) for the team selection process and for internal and external reporting as well as presentation purposes. In addition, I expressly grant permission to use my contact details (name and e-mail) to contact me and to share them with the project team if the application is successful.</t>
  </si>
  <si>
    <t>style</t>
  </si>
  <si>
    <t>version</t>
  </si>
  <si>
    <t>default_language</t>
  </si>
  <si>
    <t>theme-grid no-text-transform</t>
  </si>
  <si>
    <t>vw6VTbhmVCMEtuN7LhcmjP</t>
  </si>
  <si>
    <t>Deutsch (de)</t>
  </si>
  <si>
    <t>start</t>
  </si>
  <si>
    <t>end</t>
  </si>
  <si>
    <t>group_gi4rv46</t>
  </si>
  <si>
    <t>Hallo!</t>
  </si>
  <si>
    <t>note</t>
  </si>
  <si>
    <t>Hallo</t>
  </si>
  <si>
    <t>Hello!</t>
  </si>
  <si>
    <t>Hier kannst Du Dich auf das Projekt mit Dare2Care bewerben. Bitte beachte, dass du dir pro Woche ca. 4h Zeit für das Projekt nehmen können solltest. 
Für die Umfrage benötigst Du 5 bis 10 Minuten. Mach Dir also keine Sorgen, falls Du auch mal Anfänger*in ankreuzt, du musst nicht alles schon perfekt können, um zum Projekt beitragen zu können. Das trifft vor allem auf das Thema Wirkungsmessung zu. Unsere Projektkoordinator*innen kontaktieren Dich dann schnellstmöglich.</t>
  </si>
  <si>
    <t>Here you can apply for the project with Dare2Care. Please note that you should be able to devote approximately 4 hours per week to the project. 
The survey will take 5 to 10 minutes to complete. So don't worry if you check the “beginner” box—you don't have to be an expert to contribute to the project. This applies in particular to the topic of impact measurement. Our project coordinators will then contact you as soon as possible.</t>
  </si>
  <si>
    <t>Disclaimer</t>
  </si>
  <si>
    <t>In der folgenden Umfrage fragen wir Daten zu Dir und Deiner bisherigen Berufserfahrung ab. Dabei erheben wir Deinen Namen und Deine Kontaktdaten, damit unsere Projektmanager*innen Dich kontaktieren können. Nach erfolgreicher Ausschreibung werden diese Daten auch mit dem Projektteam innerhalb unserer Organisation geteilt.
Bei einer Umfrage hast Du gemäß der DSGVO das Recht auf Auskunft sowie Löschung Deiner personenbezogenen Daten. Du kannst diese Einwilligungserklärung jederzeit widerrufen. Schreib hierzu einfach eine E-Mail an info@correlaid.org. Nach erfolgtem Widerruf werden Deine Daten gelöscht.</t>
  </si>
  <si>
    <t>In the following survey, we ask for information about you and your previous professional experience. We collect your name and contact details so that our project managers can contact you. Once you have been successfully selected, this data will also be shared with the project team within our organization.
In accordance with the GDPR, you have the right to access and delete your personal data in a survey. You can revoke this declaration of consent at any time. Simply send an email to info@correlaid.org. Your data will be deleted after revocation.</t>
  </si>
  <si>
    <t>select_multiple mb5co98</t>
  </si>
  <si>
    <t>Für welche Projekte möchtest Du dich bewerben?</t>
  </si>
  <si>
    <t>Which project(s) do you want to apply for?</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</si>
</sst>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color theme="1"/>
      <name val="Calibri"/>
      <scheme val="minor"/>
    </font>
    <font>
      <color theme="1"/>
      <name val="Calibri"/>
      <scheme val="minor"/>
    </font>
    <font>
      <sz val="11.0"/>
      <color theme="1"/>
      <name val="Calibri"/>
    </font>
    <font>
      <sz val="11.0"/>
      <color rgb="FF383A3C"/>
      <name val="Roboto"/>
    </font>
    <font>
      <sz val="11.0"/>
      <color theme="1"/>
      <name val="Roboto"/>
    </font>
    <font>
      <sz val="11.0"/>
      <color rgb="FF434343"/>
      <name val="Roboto"/>
    </font>
    <font>
      <sz val="11.0"/>
      <color rgb="FF2A3243"/>
      <name val="Roboto"/>
    </font>
    <font>
      <sz val="11.0"/>
      <color rgb="FF4C535E"/>
      <name val="Roboto"/>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8">
    <border/>
    <border>
      <left style="thin">
        <color rgb="FF284E3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FFFFF"/>
      </left>
      <right style="thin">
        <color rgb="FFFFFFFF"/>
      </right>
      <top style="thin">
        <color rgb="FFFFFFFF"/>
      </top>
      <bottom style="thin">
        <color rgb="FFFFFFFF"/>
      </bottom>
    </border>
    <border>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vertical="bottom"/>
    </xf>
    <xf borderId="0" fillId="0" fontId="2" numFmtId="0" xfId="0" applyAlignment="1" applyFont="1">
      <alignment horizontal="left" readingOrder="0" shrinkToFit="0" vertical="center" wrapText="0"/>
    </xf>
    <xf borderId="0" fillId="0" fontId="2" numFmtId="0" xfId="0" applyFont="1"/>
    <xf borderId="0" fillId="0" fontId="2" numFmtId="0" xfId="0" applyAlignment="1" applyFont="1">
      <alignment readingOrder="0" shrinkToFit="0" vertical="center" wrapText="0"/>
    </xf>
    <xf borderId="1" fillId="2" fontId="4" numFmtId="0" xfId="0" applyAlignment="1" applyBorder="1" applyFill="1" applyFont="1">
      <alignment readingOrder="0" shrinkToFit="0" vertical="center" wrapText="0"/>
    </xf>
    <xf borderId="0" fillId="0" fontId="2" numFmtId="0" xfId="0" applyAlignment="1" applyFont="1">
      <alignment readingOrder="0" shrinkToFit="0" vertical="center" wrapText="0"/>
    </xf>
    <xf borderId="0" fillId="0" fontId="5" numFmtId="0" xfId="0" applyAlignment="1" applyFont="1">
      <alignment horizontal="left" readingOrder="0" shrinkToFit="0" vertical="center" wrapText="0"/>
    </xf>
    <xf borderId="0" fillId="0" fontId="5" numFmtId="0" xfId="0" applyAlignment="1" applyFont="1">
      <alignment horizontal="left" readingOrder="0" shrinkToFit="0" vertical="center" wrapText="0"/>
    </xf>
    <xf borderId="2" fillId="2" fontId="3" numFmtId="49" xfId="0" applyAlignment="1" applyBorder="1" applyFont="1" applyNumberFormat="1">
      <alignment readingOrder="0" shrinkToFit="0" vertical="center" wrapText="0"/>
    </xf>
    <xf borderId="3" fillId="2" fontId="4" numFmtId="0" xfId="0" applyAlignment="1" applyBorder="1" applyFont="1">
      <alignment readingOrder="0" shrinkToFit="0" vertical="center" wrapText="0"/>
    </xf>
    <xf borderId="4" fillId="2" fontId="3" numFmtId="0" xfId="0" applyAlignment="1" applyBorder="1" applyFont="1">
      <alignment readingOrder="0" shrinkToFit="0" vertical="center" wrapText="0"/>
    </xf>
    <xf borderId="1" fillId="2" fontId="4" numFmtId="0" xfId="0" applyAlignment="1" applyBorder="1" applyFont="1">
      <alignment readingOrder="0" shrinkToFit="0" vertical="center" wrapText="0"/>
    </xf>
    <xf borderId="0" fillId="2" fontId="4"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Font="1"/>
    <xf borderId="0" fillId="0" fontId="2" numFmtId="0" xfId="0" applyAlignment="1" applyFont="1">
      <alignment shrinkToFit="0" vertical="center" wrapText="0"/>
    </xf>
    <xf borderId="0" fillId="0" fontId="2" numFmtId="0" xfId="0" applyAlignment="1" applyFont="1">
      <alignment shrinkToFit="0" vertical="center" wrapText="0"/>
    </xf>
    <xf borderId="0" fillId="0" fontId="2" numFmtId="0" xfId="0" applyAlignment="1" applyFont="1">
      <alignment horizontal="left" readingOrder="0"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0"/>
    </xf>
    <xf borderId="0" fillId="0" fontId="2" numFmtId="0" xfId="0" applyAlignment="1" applyFont="1">
      <alignment shrinkToFit="0" vertical="center" wrapText="1"/>
    </xf>
    <xf borderId="5" fillId="3" fontId="6" numFmtId="0" xfId="0" applyAlignment="1" applyBorder="1" applyFill="1" applyFont="1">
      <alignment horizontal="center" shrinkToFit="0" vertical="center" wrapText="0"/>
    </xf>
    <xf borderId="6" fillId="3" fontId="6" numFmtId="0" xfId="0" applyAlignment="1" applyBorder="1" applyFont="1">
      <alignment shrinkToFit="0" vertical="center" wrapText="0"/>
    </xf>
    <xf borderId="6" fillId="3" fontId="6" numFmtId="0" xfId="0" applyAlignment="1" applyBorder="1" applyFont="1">
      <alignment shrinkToFit="0" vertical="center" wrapText="0"/>
    </xf>
    <xf borderId="6" fillId="3" fontId="3" numFmtId="0" xfId="0" applyAlignment="1" applyBorder="1" applyFont="1">
      <alignment shrinkToFit="0" vertical="center" wrapText="0"/>
    </xf>
    <xf borderId="6" fillId="3" fontId="7" numFmtId="0" xfId="0" applyAlignment="1" applyBorder="1" applyFont="1">
      <alignment shrinkToFit="0" vertical="center" wrapText="0"/>
    </xf>
    <xf borderId="6" fillId="3" fontId="8" numFmtId="0" xfId="0" applyAlignment="1" applyBorder="1" applyFont="1">
      <alignment shrinkToFit="0" vertical="center" wrapText="0"/>
    </xf>
    <xf borderId="7" fillId="3" fontId="3" numFmtId="0" xfId="0" applyAlignment="1" applyBorder="1" applyFont="1">
      <alignment shrinkToFit="0" vertical="center" wrapText="0"/>
    </xf>
    <xf borderId="0" fillId="3" fontId="3" numFmtId="0" xfId="0" applyAlignment="1" applyFont="1">
      <alignment shrinkToFit="0" vertical="center" wrapText="0"/>
    </xf>
    <xf borderId="0" fillId="0" fontId="2" numFmtId="0" xfId="0" applyAlignment="1" applyFont="1">
      <alignment readingOrder="0" shrinkToFit="0" vertical="center" wrapText="0"/>
    </xf>
    <xf borderId="0" fillId="0" fontId="2"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7">
    <tableStyle count="4" pivot="0" name="projects-style">
      <tableStyleElement dxfId="1" type="headerRow"/>
      <tableStyleElement dxfId="2" type="firstRowStripe"/>
      <tableStyleElement dxfId="3" type="secondRowStripe"/>
      <tableStyleElement dxfId="4" size="0" type="wholeTable"/>
    </tableStyle>
    <tableStyle count="4" pivot="0" name="roles-style">
      <tableStyleElement dxfId="1" type="headerRow"/>
      <tableStyleElement dxfId="2" type="firstRowStripe"/>
      <tableStyleElement dxfId="3" type="secondRowStripe"/>
      <tableStyleElement dxfId="4" size="0" type="wholeTable"/>
    </tableStyle>
    <tableStyle count="4" pivot="0" name="choices_fixed-style">
      <tableStyleElement dxfId="1" type="headerRow"/>
      <tableStyleElement dxfId="2" type="firstRowStripe"/>
      <tableStyleElement dxfId="3" type="secondRowStripe"/>
      <tableStyleElement dxfId="4" size="0" type="wholeTable"/>
    </tableStyle>
    <tableStyle count="4" pivot="0" name="survey_roles-style">
      <tableStyleElement dxfId="1" type="headerRow"/>
      <tableStyleElement dxfId="2" type="firstRowStripe"/>
      <tableStyleElement dxfId="3" type="secondRowStripe"/>
      <tableStyleElement dxfId="4" size="0" type="wholeTable"/>
    </tableStyle>
    <tableStyle count="4" pivot="0" name="survey_skills-style">
      <tableStyleElement dxfId="1" type="headerRow"/>
      <tableStyleElement dxfId="2" type="firstRowStripe"/>
      <tableStyleElement dxfId="3" type="secondRowStripe"/>
      <tableStyleElement dxfId="4" size="0" type="wholeTable"/>
    </tableStyle>
    <tableStyle count="4" pivot="0" name="survey_end-style">
      <tableStyleElement dxfId="1" type="headerRow"/>
      <tableStyleElement dxfId="2" type="firstRowStripe"/>
      <tableStyleElement dxfId="3" type="secondRowStripe"/>
      <tableStyleElement dxfId="4" size="0" type="wholeTable"/>
    </tableStyle>
    <tableStyle count="4" pivot="0" name="surve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2" displayName="Choice_List_Projects" name="Choice_List_Projects" id="1">
  <tableColumns count="4">
    <tableColumn name="list_name" id="1"/>
    <tableColumn name="name" id="2"/>
    <tableColumn name="label::Deutsch (de)" id="3"/>
    <tableColumn name="label::English (en)" id="4"/>
  </tableColumns>
  <tableStyleInfo name="projects-style" showColumnStripes="0" showFirstColumn="1" showLastColumn="1" showRowStripes="1"/>
</table>
</file>

<file path=xl/tables/table2.xml><?xml version="1.0" encoding="utf-8"?>
<table xmlns="http://schemas.openxmlformats.org/spreadsheetml/2006/main" ref="A1:H2" displayName="Choice_List_Roles" name="Choice_List_Roles" id="2">
  <tableColumns count="8">
    <tableColumn name="list_name" id="1"/>
    <tableColumn name="name" id="2"/>
    <tableColumn name="label::Deutsch (de)" id="3"/>
    <tableColumn name="label::English (en)" id="4"/>
    <tableColumn name="project_id" id="5"/>
    <tableColumn name="Tools" id="6"/>
    <tableColumn name="Techniques" id="7"/>
    <tableColumn name="Topics" id="8"/>
  </tableColumns>
  <tableStyleInfo name="roles-style" showColumnStripes="0" showFirstColumn="1" showLastColumn="1" showRowStripes="1"/>
</table>
</file>

<file path=xl/tables/table3.xml><?xml version="1.0" encoding="utf-8"?>
<table xmlns="http://schemas.openxmlformats.org/spreadsheetml/2006/main" ref="A1:D22" displayName="Choice_List_Fixed" name="Choice_List_Fixed" id="3">
  <tableColumns count="4">
    <tableColumn name="list_name" id="1"/>
    <tableColumn name="name" id="2"/>
    <tableColumn name="label::Deutsch (de)" id="3"/>
    <tableColumn name="label::English (en)" id="4"/>
  </tableColumns>
  <tableStyleInfo name="choices_fixed-style" showColumnStripes="0" showFirstColumn="1" showLastColumn="1" showRowStripes="1"/>
</table>
</file>

<file path=xl/tables/table4.xml><?xml version="1.0" encoding="utf-8"?>
<table xmlns="http://schemas.openxmlformats.org/spreadsheetml/2006/main" ref="A1:K5" displayName="Survey_Custom_Roles" name="Survey_Custom_Roles" id="4">
  <tableColumns count="11">
    <tableColumn name="type" id="1"/>
    <tableColumn name="name" id="2"/>
    <tableColumn name="label::Deutsch (de)" id="3"/>
    <tableColumn name="label::English (en)" id="4"/>
    <tableColumn name="hint::Deutsch (de)" id="5"/>
    <tableColumn name="hint::English (en)" id="6"/>
    <tableColumn name="required" id="7"/>
    <tableColumn name="appearance" id="8"/>
    <tableColumn name="relevant" id="9"/>
    <tableColumn name="constraint" id="10"/>
    <tableColumn name="constraint_message" id="11"/>
  </tableColumns>
  <tableStyleInfo name="survey_roles-style" showColumnStripes="0" showFirstColumn="1" showLastColumn="1" showRowStripes="1"/>
</table>
</file>

<file path=xl/tables/table5.xml><?xml version="1.0" encoding="utf-8"?>
<table xmlns="http://schemas.openxmlformats.org/spreadsheetml/2006/main" ref="A1:AA54" displayName="Survey_Custom_Skills" name="Survey_Custom_Skills" id="5">
  <tableColumns count="27">
    <tableColumn name="include_in_survey" id="1"/>
    <tableColumn name="type" id="2"/>
    <tableColumn name="name" id="3"/>
    <tableColumn name="label::Deutsch (de)" id="4"/>
    <tableColumn name="label::English (en)" id="5"/>
    <tableColumn name="hint::Deutsch (de)" id="6"/>
    <tableColumn name="hint::English (en)" id="7"/>
    <tableColumn name="required" id="8"/>
    <tableColumn name="appearance" id="9"/>
    <tableColumn name="relevant" id="10"/>
    <tableColumn name="constraint" id="11"/>
    <tableColumn name="constraint_message" id="12"/>
    <tableColumn name="Column 1" id="13"/>
    <tableColumn name="Column 2" id="14"/>
    <tableColumn name="Column 3" id="15"/>
    <tableColumn name="Column 4" id="16"/>
    <tableColumn name="Column 5" id="17"/>
    <tableColumn name="Column 6" id="18"/>
    <tableColumn name="Column 7" id="19"/>
    <tableColumn name="Column 8" id="20"/>
    <tableColumn name="Column 9" id="21"/>
    <tableColumn name="Column 10" id="22"/>
    <tableColumn name="Column 11" id="23"/>
    <tableColumn name="Column 12" id="24"/>
    <tableColumn name="Column 13" id="25"/>
    <tableColumn name="Column 14" id="26"/>
    <tableColumn name="Column 15" id="27"/>
  </tableColumns>
  <tableStyleInfo name="survey_skills-style" showColumnStripes="0" showFirstColumn="1" showLastColumn="1" showRowStripes="1"/>
</table>
</file>

<file path=xl/tables/table6.xml><?xml version="1.0" encoding="utf-8"?>
<table xmlns="http://schemas.openxmlformats.org/spreadsheetml/2006/main" ref="A1:K16" displayName="Survey_End" name="Survey_End" id="6">
  <tableColumns count="11">
    <tableColumn name="type" id="1"/>
    <tableColumn name="name" id="2"/>
    <tableColumn name="label::Deutsch (de)" id="3"/>
    <tableColumn name="label::English (en)" id="4"/>
    <tableColumn name="hint::Deutsch (de)" id="5"/>
    <tableColumn name="hint::English (en)" id="6"/>
    <tableColumn name="required" id="7"/>
    <tableColumn name="appearance" id="8"/>
    <tableColumn name="relevant" id="9"/>
    <tableColumn name="constraint" id="10"/>
    <tableColumn name="constraint_message" id="11"/>
  </tableColumns>
  <tableStyleInfo name="survey_end-style" showColumnStripes="0" showFirstColumn="1" showLastColumn="1" showRowStripes="1"/>
</table>
</file>

<file path=xl/tables/table7.xml><?xml version="1.0" encoding="utf-8"?>
<table xmlns="http://schemas.openxmlformats.org/spreadsheetml/2006/main" ref="A1:K62" displayName="Complete_Survey" name="Complete_Survey" id="7">
  <tableColumns count="11">
    <tableColumn name="type" id="1"/>
    <tableColumn name="name" id="2"/>
    <tableColumn name="label::Deutsch (de)" id="3"/>
    <tableColumn name="label::English (en)" id="4"/>
    <tableColumn name="hint::Deutsch (de)" id="5"/>
    <tableColumn name="hint::English (en)" id="6"/>
    <tableColumn name="required" id="7"/>
    <tableColumn name="appearance" id="8"/>
    <tableColumn name="relevant" id="9"/>
    <tableColumn name="constraint" id="10"/>
    <tableColumn name="constraint_message" id="11"/>
  </tableColumns>
  <tableStyleInfo name="surve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row>
    <row r="2">
      <c r="A2" s="2" t="s">
        <v>1</v>
      </c>
    </row>
    <row r="3">
      <c r="A3" s="2" t="s">
        <v>2</v>
      </c>
    </row>
    <row r="4">
      <c r="A4" s="2"/>
    </row>
    <row r="5">
      <c r="A5" s="1" t="s">
        <v>3</v>
      </c>
    </row>
    <row r="6">
      <c r="A6" s="3" t="s">
        <v>4</v>
      </c>
      <c r="B6" s="3"/>
      <c r="C6" s="3"/>
      <c r="D6" s="3"/>
      <c r="E6" s="3"/>
      <c r="F6" s="3"/>
      <c r="G6" s="3"/>
      <c r="H6" s="3"/>
      <c r="I6" s="3"/>
      <c r="J6" s="3"/>
      <c r="K6" s="3"/>
      <c r="L6" s="3"/>
      <c r="M6" s="3"/>
      <c r="N6" s="3"/>
      <c r="O6" s="3"/>
      <c r="P6" s="3"/>
      <c r="Q6" s="3"/>
      <c r="R6" s="3"/>
      <c r="S6" s="3"/>
      <c r="T6" s="3"/>
      <c r="U6" s="3"/>
      <c r="V6" s="3"/>
      <c r="W6" s="3"/>
      <c r="X6" s="3"/>
      <c r="Y6" s="3"/>
      <c r="Z6" s="3"/>
    </row>
    <row r="7">
      <c r="A7" s="3" t="s">
        <v>5</v>
      </c>
      <c r="B7" s="3"/>
      <c r="C7" s="3"/>
      <c r="D7" s="3"/>
      <c r="E7" s="3"/>
      <c r="F7" s="3"/>
      <c r="G7" s="3"/>
      <c r="H7" s="3"/>
      <c r="I7" s="3"/>
      <c r="J7" s="3"/>
      <c r="K7" s="3"/>
      <c r="L7" s="3"/>
      <c r="M7" s="3"/>
      <c r="N7" s="3"/>
      <c r="O7" s="3"/>
      <c r="P7" s="3"/>
      <c r="Q7" s="3"/>
      <c r="R7" s="3"/>
      <c r="S7" s="3"/>
      <c r="T7" s="3"/>
      <c r="U7" s="3"/>
      <c r="V7" s="3"/>
      <c r="W7" s="3"/>
      <c r="X7" s="3"/>
      <c r="Y7" s="3"/>
      <c r="Z7" s="3"/>
    </row>
    <row r="8">
      <c r="A8" s="3" t="s">
        <v>6</v>
      </c>
      <c r="B8" s="3"/>
      <c r="C8" s="3"/>
      <c r="D8" s="3"/>
      <c r="E8" s="3"/>
      <c r="F8" s="3"/>
      <c r="G8" s="3"/>
      <c r="H8" s="3"/>
      <c r="I8" s="3"/>
      <c r="J8" s="3"/>
      <c r="K8" s="3"/>
      <c r="L8" s="3"/>
      <c r="M8" s="3"/>
      <c r="N8" s="3"/>
      <c r="O8" s="3"/>
      <c r="P8" s="3"/>
      <c r="Q8" s="3"/>
      <c r="R8" s="3"/>
      <c r="S8" s="3"/>
      <c r="T8" s="3"/>
      <c r="U8" s="3"/>
      <c r="V8" s="3"/>
      <c r="W8" s="3"/>
      <c r="X8" s="3"/>
      <c r="Y8" s="3"/>
      <c r="Z8"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43"/>
    <col customWidth="1" min="2" max="2" width="22.86"/>
    <col customWidth="1" min="3" max="4" width="30.14"/>
    <col customWidth="1" min="5" max="5" width="29.14"/>
    <col customWidth="1" min="6" max="6" width="19.43"/>
    <col customWidth="1" min="7" max="7" width="37.14"/>
    <col customWidth="1" min="8" max="9" width="19.43"/>
    <col customWidth="1" min="10" max="10" width="33.43"/>
    <col customWidth="1" min="12" max="12" width="36.29"/>
    <col customWidth="1" min="13" max="13" width="24.86"/>
    <col customWidth="1" min="14" max="14" width="31.14"/>
  </cols>
  <sheetData>
    <row r="1" ht="22.5" customHeight="1">
      <c r="A1" s="4" t="s">
        <v>7</v>
      </c>
      <c r="B1" s="4" t="s">
        <v>8</v>
      </c>
      <c r="C1" s="4" t="s">
        <v>9</v>
      </c>
      <c r="D1" s="4" t="s">
        <v>10</v>
      </c>
      <c r="F1" s="5"/>
      <c r="G1" s="5"/>
      <c r="H1" s="5"/>
      <c r="I1" s="5"/>
      <c r="J1" s="5"/>
    </row>
    <row r="2" ht="22.5" customHeight="1">
      <c r="A2" s="6" t="s">
        <v>11</v>
      </c>
      <c r="B2" s="7" t="s">
        <v>12</v>
      </c>
      <c r="C2" s="8" t="s">
        <v>13</v>
      </c>
      <c r="D2" s="8" t="s">
        <v>13</v>
      </c>
      <c r="F2" s="5"/>
      <c r="G2" s="5"/>
      <c r="H2" s="5"/>
      <c r="I2" s="5"/>
      <c r="J2" s="5"/>
    </row>
    <row r="3">
      <c r="F3" s="5"/>
      <c r="G3" s="5"/>
      <c r="H3" s="5"/>
      <c r="I3" s="5"/>
      <c r="J3" s="5"/>
    </row>
    <row r="4">
      <c r="F4" s="5"/>
      <c r="G4" s="5"/>
      <c r="H4" s="5"/>
      <c r="I4" s="5"/>
      <c r="J4" s="5"/>
    </row>
    <row r="5">
      <c r="F5" s="5"/>
      <c r="G5" s="5"/>
      <c r="H5" s="5"/>
      <c r="I5" s="5"/>
      <c r="J5" s="5"/>
    </row>
    <row r="6">
      <c r="F6" s="5"/>
      <c r="G6" s="5"/>
      <c r="H6" s="5"/>
      <c r="I6" s="5"/>
      <c r="J6" s="5"/>
    </row>
    <row r="7">
      <c r="F7" s="5"/>
      <c r="G7" s="5"/>
      <c r="H7" s="5"/>
      <c r="I7" s="5"/>
      <c r="J7" s="5"/>
    </row>
    <row r="8">
      <c r="F8" s="5"/>
      <c r="G8" s="5"/>
      <c r="H8" s="5"/>
      <c r="I8" s="5"/>
      <c r="J8" s="5"/>
    </row>
    <row r="9">
      <c r="F9" s="5"/>
      <c r="G9" s="5"/>
      <c r="H9" s="5"/>
      <c r="I9" s="5"/>
      <c r="J9" s="5"/>
    </row>
    <row r="10">
      <c r="F10" s="5"/>
      <c r="G10" s="5"/>
      <c r="H10" s="5"/>
      <c r="I10" s="5"/>
      <c r="J10" s="5"/>
    </row>
    <row r="11">
      <c r="F11" s="5"/>
      <c r="G11" s="5"/>
      <c r="H11" s="5"/>
      <c r="I11" s="5"/>
      <c r="J11" s="5"/>
    </row>
    <row r="12">
      <c r="F12" s="5"/>
      <c r="G12" s="5"/>
      <c r="H12" s="5"/>
      <c r="I12" s="5"/>
      <c r="J12" s="5"/>
    </row>
    <row r="13">
      <c r="F13" s="5"/>
      <c r="G13" s="5"/>
      <c r="H13" s="5"/>
      <c r="I13" s="5"/>
      <c r="J13" s="5"/>
    </row>
    <row r="14">
      <c r="F14" s="5"/>
      <c r="G14" s="5"/>
      <c r="H14" s="5"/>
      <c r="I14" s="5"/>
      <c r="J14" s="5"/>
    </row>
    <row r="15">
      <c r="F15" s="5"/>
      <c r="G15" s="5"/>
      <c r="H15" s="5"/>
      <c r="I15" s="5"/>
      <c r="J15" s="5"/>
    </row>
    <row r="16">
      <c r="F16" s="5"/>
      <c r="G16" s="5"/>
      <c r="H16" s="5"/>
      <c r="I16" s="5"/>
      <c r="J16" s="5"/>
    </row>
    <row r="17">
      <c r="F17" s="5"/>
      <c r="G17" s="5"/>
      <c r="H17" s="5"/>
      <c r="I17" s="5"/>
      <c r="J17" s="5"/>
    </row>
    <row r="18">
      <c r="F18" s="5"/>
      <c r="G18" s="5"/>
      <c r="H18" s="5"/>
      <c r="I18" s="5"/>
      <c r="J18" s="5"/>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43"/>
    <col customWidth="1" min="2" max="2" width="32.71"/>
    <col customWidth="1" min="3" max="3" width="27.43"/>
    <col customWidth="1" min="4" max="4" width="26.43"/>
    <col customWidth="1" min="5" max="5" width="29.14"/>
    <col customWidth="1" min="6" max="6" width="19.43"/>
    <col customWidth="1" min="7" max="7" width="37.14"/>
    <col customWidth="1" min="8" max="8" width="61.29"/>
    <col customWidth="1" min="9" max="9" width="19.0"/>
    <col customWidth="1" min="11" max="11" width="36.29"/>
    <col customWidth="1" min="12" max="12" width="24.86"/>
    <col customWidth="1" min="13" max="13" width="31.14"/>
  </cols>
  <sheetData>
    <row r="1" ht="22.5" customHeight="1">
      <c r="A1" s="9" t="s">
        <v>7</v>
      </c>
      <c r="B1" s="9" t="s">
        <v>8</v>
      </c>
      <c r="C1" s="4" t="s">
        <v>9</v>
      </c>
      <c r="D1" s="4" t="s">
        <v>10</v>
      </c>
      <c r="E1" s="9" t="s">
        <v>14</v>
      </c>
      <c r="F1" s="10" t="s">
        <v>15</v>
      </c>
      <c r="G1" s="4" t="s">
        <v>16</v>
      </c>
      <c r="H1" s="4" t="s">
        <v>17</v>
      </c>
      <c r="I1" s="2" t="s">
        <v>18</v>
      </c>
      <c r="J1" s="2" t="s">
        <v>19</v>
      </c>
      <c r="K1" s="2" t="s">
        <v>20</v>
      </c>
    </row>
    <row r="2" ht="22.5" customHeight="1">
      <c r="A2" s="11" t="str">
        <f>CONCAT("cl-role-",E2)</f>
        <v>cl-role-2026-02-DTC</v>
      </c>
      <c r="B2" s="12" t="s">
        <v>21</v>
      </c>
      <c r="C2" s="13" t="s">
        <v>22</v>
      </c>
      <c r="D2" s="13" t="s">
        <v>22</v>
      </c>
      <c r="E2" s="14" t="s">
        <v>12</v>
      </c>
      <c r="F2" s="15" t="s">
        <v>23</v>
      </c>
      <c r="G2" s="16" t="s">
        <v>24</v>
      </c>
      <c r="H2" s="16" t="s">
        <v>25</v>
      </c>
      <c r="I2" s="2" t="str">
        <f>IFERROR(__xludf.DUMMYFUNCTION("FILTER(Survey_Custom_Skills[name], Survey_Custom_Skills[type] = ""select_one iy6st81"")"),"rating_technologies_tools_header")</f>
        <v>rating_technologies_tools_header</v>
      </c>
      <c r="J2" s="2" t="str">
        <f>IFERROR(__xludf.DUMMYFUNCTION("FILTER(Survey_Custom_Skills[name], Survey_Custom_Skills[type] = ""select_one xe9mo32"")"),"rating_techniques_header")</f>
        <v>rating_techniques_header</v>
      </c>
      <c r="K2" s="2" t="str">
        <f>IFERROR(__xludf.DUMMYFUNCTION("FILTER(Survey_Custom_Skills[name], Survey_Custom_Skills[type] = ""select_one dm1uu76"")"),"rating_topics_header")</f>
        <v>rating_topics_header</v>
      </c>
    </row>
    <row r="3">
      <c r="I3" s="17" t="str">
        <f>IFERROR(__xludf.DUMMYFUNCTION("""COMPUTED_VALUE"""),"python")</f>
        <v>python</v>
      </c>
      <c r="J3" s="17" t="str">
        <f>IFERROR(__xludf.DUMMYFUNCTION("""COMPUTED_VALUE"""),"data_cleaning")</f>
        <v>data_cleaning</v>
      </c>
      <c r="K3" s="17" t="str">
        <f>IFERROR(__xludf.DUMMYFUNCTION("""COMPUTED_VALUE"""),"wirkungsmessung")</f>
        <v>wirkungsmessung</v>
      </c>
    </row>
    <row r="4">
      <c r="I4" s="17" t="str">
        <f>IFERROR(__xludf.DUMMYFUNCTION("""COMPUTED_VALUE"""),"rstats")</f>
        <v>rstats</v>
      </c>
      <c r="J4" s="17" t="str">
        <f>IFERROR(__xludf.DUMMYFUNCTION("""COMPUTED_VALUE"""),"data_anonymization")</f>
        <v>data_anonymization</v>
      </c>
      <c r="K4" s="17" t="str">
        <f>IFERROR(__xludf.DUMMYFUNCTION("""COMPUTED_VALUE"""),"research_design")</f>
        <v>research_design</v>
      </c>
    </row>
    <row r="5">
      <c r="I5" s="17" t="str">
        <f>IFERROR(__xludf.DUMMYFUNCTION("""COMPUTED_VALUE"""),"sql")</f>
        <v>sql</v>
      </c>
      <c r="J5" s="17" t="str">
        <f>IFERROR(__xludf.DUMMYFUNCTION("""COMPUTED_VALUE"""),"database_management")</f>
        <v>database_management</v>
      </c>
      <c r="K5" s="17" t="str">
        <f>IFERROR(__xludf.DUMMYFUNCTION("""COMPUTED_VALUE"""),"survey_research")</f>
        <v>survey_research</v>
      </c>
    </row>
    <row r="6">
      <c r="I6" s="17" t="str">
        <f>IFERROR(__xludf.DUMMYFUNCTION("""COMPUTED_VALUE"""),"git")</f>
        <v>git</v>
      </c>
      <c r="J6" s="17" t="str">
        <f>IFERROR(__xludf.DUMMYFUNCTION("""COMPUTED_VALUE"""),"descriptive_statistics")</f>
        <v>descriptive_statistics</v>
      </c>
      <c r="K6" s="17" t="str">
        <f>IFERROR(__xludf.DUMMYFUNCTION("""COMPUTED_VALUE"""),"data_protection")</f>
        <v>data_protection</v>
      </c>
    </row>
    <row r="7">
      <c r="I7" s="17" t="str">
        <f>IFERROR(__xludf.DUMMYFUNCTION("""COMPUTED_VALUE"""),"javascript_frontend")</f>
        <v>javascript_frontend</v>
      </c>
      <c r="J7" s="17" t="str">
        <f>IFERROR(__xludf.DUMMYFUNCTION("""COMPUTED_VALUE"""),"data_visualization")</f>
        <v>data_visualization</v>
      </c>
      <c r="K7" s="17" t="str">
        <f>IFERROR(__xludf.DUMMYFUNCTION("""COMPUTED_VALUE"""),"data_security")</f>
        <v>data_security</v>
      </c>
    </row>
    <row r="8">
      <c r="I8" s="17" t="str">
        <f>IFERROR(__xludf.DUMMYFUNCTION("""COMPUTED_VALUE"""),"html_css")</f>
        <v>html_css</v>
      </c>
      <c r="J8" s="17" t="str">
        <f>IFERROR(__xludf.DUMMYFUNCTION("""COMPUTED_VALUE"""),"inferential_statistics")</f>
        <v>inferential_statistics</v>
      </c>
      <c r="K8" s="17" t="str">
        <f>IFERROR(__xludf.DUMMYFUNCTION("""COMPUTED_VALUE"""),"working_agile")</f>
        <v>working_agile</v>
      </c>
    </row>
    <row r="9">
      <c r="I9" s="17" t="str">
        <f>IFERROR(__xludf.DUMMYFUNCTION("""COMPUTED_VALUE"""),"nodejs")</f>
        <v>nodejs</v>
      </c>
      <c r="J9" s="17" t="str">
        <f>IFERROR(__xludf.DUMMYFUNCTION("""COMPUTED_VALUE"""),"regressions_and_modelling")</f>
        <v>regressions_and_modelling</v>
      </c>
      <c r="K9" s="17" t="str">
        <f>IFERROR(__xludf.DUMMYFUNCTION("""COMPUTED_VALUE"""),"project_management")</f>
        <v>project_management</v>
      </c>
    </row>
    <row r="10">
      <c r="I10" s="17" t="str">
        <f>IFERROR(__xludf.DUMMYFUNCTION("""COMPUTED_VALUE"""),"excel")</f>
        <v>excel</v>
      </c>
      <c r="J10" s="17" t="str">
        <f>IFERROR(__xludf.DUMMYFUNCTION("""COMPUTED_VALUE"""),"classification")</f>
        <v>classification</v>
      </c>
      <c r="K10" s="17" t="str">
        <f>IFERROR(__xludf.DUMMYFUNCTION("""COMPUTED_VALUE"""),"ethical_critical_ai")</f>
        <v>ethical_critical_ai</v>
      </c>
    </row>
    <row r="11">
      <c r="I11" s="17" t="str">
        <f>IFERROR(__xludf.DUMMYFUNCTION("""COMPUTED_VALUE"""),"google_sheets")</f>
        <v>google_sheets</v>
      </c>
      <c r="J11" s="17" t="str">
        <f>IFERROR(__xludf.DUMMYFUNCTION("""COMPUTED_VALUE"""),"clustering")</f>
        <v>clustering</v>
      </c>
      <c r="K11" s="17" t="str">
        <f>IFERROR(__xludf.DUMMYFUNCTION("""COMPUTED_VALUE"""),"data_ethics")</f>
        <v>data_ethics</v>
      </c>
    </row>
    <row r="12">
      <c r="I12" s="17" t="str">
        <f>IFERROR(__xludf.DUMMYFUNCTION("""COMPUTED_VALUE"""),"lamapoll")</f>
        <v>lamapoll</v>
      </c>
      <c r="J12" s="17" t="str">
        <f>IFERROR(__xludf.DUMMYFUNCTION("""COMPUTED_VALUE"""),"nlp")</f>
        <v>nlp</v>
      </c>
      <c r="K12" s="17" t="str">
        <f>IFERROR(__xludf.DUMMYFUNCTION("""COMPUTED_VALUE"""),"resilience_mental_health")</f>
        <v>resilience_mental_health</v>
      </c>
    </row>
    <row r="13">
      <c r="I13" s="17" t="str">
        <f>IFERROR(__xludf.DUMMYFUNCTION("""COMPUTED_VALUE"""),"sosci_survey")</f>
        <v>sosci_survey</v>
      </c>
      <c r="J13" s="17" t="str">
        <f>IFERROR(__xludf.DUMMYFUNCTION("""COMPUTED_VALUE"""),"neural_networks_and_deep_learn")</f>
        <v>neural_networks_and_deep_learn</v>
      </c>
      <c r="K13" s="17" t="str">
        <f>IFERROR(__xludf.DUMMYFUNCTION("""COMPUTED_VALUE"""),"education_research")</f>
        <v>education_research</v>
      </c>
    </row>
    <row r="14">
      <c r="I14" s="17" t="str">
        <f>IFERROR(__xludf.DUMMYFUNCTION("""COMPUTED_VALUE"""),"powerbi")</f>
        <v>powerbi</v>
      </c>
      <c r="J14" s="17" t="str">
        <f>IFERROR(__xludf.DUMMYFUNCTION("""COMPUTED_VALUE"""),"image_data_processing")</f>
        <v>image_data_processing</v>
      </c>
    </row>
    <row r="15">
      <c r="J15" s="17" t="str">
        <f>IFERROR(__xludf.DUMMYFUNCTION("""COMPUTED_VALUE"""),"audio_data_processing")</f>
        <v>audio_data_processing</v>
      </c>
    </row>
    <row r="16">
      <c r="J16" s="17" t="str">
        <f>IFERROR(__xludf.DUMMYFUNCTION("""COMPUTED_VALUE"""),"survey_design")</f>
        <v>survey_design</v>
      </c>
    </row>
    <row r="17">
      <c r="J17" s="17" t="str">
        <f>IFERROR(__xludf.DUMMYFUNCTION("""COMPUTED_VALUE"""),"theories_of_change_development")</f>
        <v>theories_of_change_development</v>
      </c>
    </row>
    <row r="18">
      <c r="J18" s="17" t="str">
        <f>IFERROR(__xludf.DUMMYFUNCTION("""COMPUTED_VALUE"""),"indicator_development")</f>
        <v>indicator_development</v>
      </c>
    </row>
    <row r="19">
      <c r="J19" s="17" t="str">
        <f>IFERROR(__xludf.DUMMYFUNCTION("""COMPUTED_VALUE"""),"data_collection")</f>
        <v>data_collection</v>
      </c>
    </row>
    <row r="20">
      <c r="J20" s="17" t="str">
        <f>IFERROR(__xludf.DUMMYFUNCTION("""COMPUTED_VALUE"""),"data_engineering")</f>
        <v>data_engineering</v>
      </c>
    </row>
    <row r="21">
      <c r="J21" s="17" t="str">
        <f>IFERROR(__xludf.DUMMYFUNCTION("""COMPUTED_VALUE"""),"automation")</f>
        <v>automation</v>
      </c>
    </row>
  </sheetData>
  <dataValidations>
    <dataValidation type="list" allowBlank="1" sqref="F2:H2">
      <formula1>#REF!</formula1>
    </dataValidation>
    <dataValidation allowBlank="1" showDropDown="1" sqref="A2:D2"/>
    <dataValidation type="list" allowBlank="1" sqref="E2">
      <formula1>#REF!</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2" width="17.43"/>
    <col customWidth="1" min="3" max="4" width="43.0"/>
    <col customWidth="1" min="5" max="26" width="8.71"/>
  </cols>
  <sheetData>
    <row r="1" ht="22.5" customHeight="1">
      <c r="A1" s="4" t="s">
        <v>7</v>
      </c>
      <c r="B1" s="4" t="s">
        <v>8</v>
      </c>
      <c r="C1" s="4" t="s">
        <v>9</v>
      </c>
      <c r="D1" s="4" t="s">
        <v>10</v>
      </c>
    </row>
    <row r="2" ht="22.5" customHeight="1">
      <c r="A2" s="18" t="s">
        <v>26</v>
      </c>
      <c r="B2" s="18" t="s">
        <v>27</v>
      </c>
      <c r="C2" s="18" t="s">
        <v>28</v>
      </c>
      <c r="D2" s="18" t="s">
        <v>29</v>
      </c>
    </row>
    <row r="3" ht="22.5" customHeight="1">
      <c r="A3" s="18" t="s">
        <v>26</v>
      </c>
      <c r="B3" s="18" t="s">
        <v>30</v>
      </c>
      <c r="C3" s="18" t="s">
        <v>31</v>
      </c>
      <c r="D3" s="18" t="s">
        <v>32</v>
      </c>
    </row>
    <row r="4" ht="22.5" customHeight="1">
      <c r="A4" s="18" t="s">
        <v>26</v>
      </c>
      <c r="B4" s="18" t="s">
        <v>33</v>
      </c>
      <c r="C4" s="18" t="s">
        <v>34</v>
      </c>
      <c r="D4" s="18" t="s">
        <v>35</v>
      </c>
    </row>
    <row r="5" ht="22.5" customHeight="1">
      <c r="A5" s="18" t="s">
        <v>26</v>
      </c>
      <c r="B5" s="18" t="s">
        <v>36</v>
      </c>
      <c r="C5" s="18" t="s">
        <v>37</v>
      </c>
      <c r="D5" s="18" t="s">
        <v>38</v>
      </c>
    </row>
    <row r="6" ht="22.5" customHeight="1">
      <c r="A6" s="18" t="s">
        <v>39</v>
      </c>
      <c r="B6" s="18" t="s">
        <v>27</v>
      </c>
      <c r="C6" s="18" t="s">
        <v>28</v>
      </c>
      <c r="D6" s="18" t="s">
        <v>29</v>
      </c>
    </row>
    <row r="7" ht="22.5" customHeight="1">
      <c r="A7" s="18" t="s">
        <v>39</v>
      </c>
      <c r="B7" s="18" t="s">
        <v>30</v>
      </c>
      <c r="C7" s="18" t="s">
        <v>31</v>
      </c>
      <c r="D7" s="18" t="s">
        <v>32</v>
      </c>
    </row>
    <row r="8" ht="22.5" customHeight="1">
      <c r="A8" s="18" t="s">
        <v>39</v>
      </c>
      <c r="B8" s="18" t="s">
        <v>33</v>
      </c>
      <c r="C8" s="18" t="s">
        <v>34</v>
      </c>
      <c r="D8" s="18" t="s">
        <v>35</v>
      </c>
    </row>
    <row r="9" ht="22.5" customHeight="1">
      <c r="A9" s="18" t="s">
        <v>39</v>
      </c>
      <c r="B9" s="18" t="s">
        <v>36</v>
      </c>
      <c r="C9" s="18" t="s">
        <v>37</v>
      </c>
      <c r="D9" s="18" t="s">
        <v>38</v>
      </c>
    </row>
    <row r="10" ht="22.5" customHeight="1">
      <c r="A10" s="18" t="s">
        <v>40</v>
      </c>
      <c r="B10" s="18" t="s">
        <v>27</v>
      </c>
      <c r="C10" s="18" t="s">
        <v>28</v>
      </c>
      <c r="D10" s="18" t="s">
        <v>29</v>
      </c>
    </row>
    <row r="11" ht="22.5" customHeight="1">
      <c r="A11" s="18" t="s">
        <v>40</v>
      </c>
      <c r="B11" s="18" t="s">
        <v>30</v>
      </c>
      <c r="C11" s="18" t="s">
        <v>31</v>
      </c>
      <c r="D11" s="18" t="s">
        <v>32</v>
      </c>
    </row>
    <row r="12" ht="22.5" customHeight="1">
      <c r="A12" s="18" t="s">
        <v>40</v>
      </c>
      <c r="B12" s="18" t="s">
        <v>33</v>
      </c>
      <c r="C12" s="18" t="s">
        <v>34</v>
      </c>
      <c r="D12" s="18" t="s">
        <v>35</v>
      </c>
    </row>
    <row r="13" ht="22.5" customHeight="1">
      <c r="A13" s="18" t="s">
        <v>40</v>
      </c>
      <c r="B13" s="18" t="s">
        <v>36</v>
      </c>
      <c r="C13" s="18" t="s">
        <v>37</v>
      </c>
      <c r="D13" s="18" t="s">
        <v>38</v>
      </c>
    </row>
    <row r="14" ht="22.5" customHeight="1">
      <c r="A14" s="18" t="s">
        <v>41</v>
      </c>
      <c r="B14" s="18" t="s">
        <v>42</v>
      </c>
      <c r="C14" s="18" t="s">
        <v>43</v>
      </c>
      <c r="D14" s="18" t="s">
        <v>44</v>
      </c>
    </row>
    <row r="15" ht="15.75" customHeight="1">
      <c r="A15" s="18" t="s">
        <v>41</v>
      </c>
      <c r="B15" s="18" t="s">
        <v>45</v>
      </c>
      <c r="C15" s="18" t="s">
        <v>46</v>
      </c>
      <c r="D15" s="18" t="s">
        <v>47</v>
      </c>
    </row>
    <row r="16" ht="15.75" customHeight="1">
      <c r="A16" s="18" t="s">
        <v>41</v>
      </c>
      <c r="B16" s="18" t="s">
        <v>48</v>
      </c>
      <c r="C16" s="18" t="s">
        <v>49</v>
      </c>
      <c r="D16" s="18" t="s">
        <v>50</v>
      </c>
    </row>
    <row r="17" ht="15.75" customHeight="1">
      <c r="A17" s="18" t="s">
        <v>51</v>
      </c>
      <c r="B17" s="18" t="s">
        <v>52</v>
      </c>
      <c r="C17" s="18" t="s">
        <v>53</v>
      </c>
      <c r="D17" s="18" t="s">
        <v>54</v>
      </c>
    </row>
    <row r="18" ht="15.75" customHeight="1">
      <c r="A18" s="18" t="s">
        <v>51</v>
      </c>
      <c r="B18" s="18" t="s">
        <v>55</v>
      </c>
      <c r="C18" s="18" t="s">
        <v>56</v>
      </c>
      <c r="D18" s="18" t="s">
        <v>57</v>
      </c>
    </row>
    <row r="19" ht="15.75" customHeight="1">
      <c r="A19" s="18" t="s">
        <v>51</v>
      </c>
      <c r="B19" s="18" t="s">
        <v>58</v>
      </c>
      <c r="C19" s="18" t="s">
        <v>59</v>
      </c>
      <c r="D19" s="18" t="s">
        <v>60</v>
      </c>
    </row>
    <row r="20" ht="15.75" customHeight="1">
      <c r="A20" s="18" t="s">
        <v>51</v>
      </c>
      <c r="B20" s="18" t="s">
        <v>61</v>
      </c>
      <c r="C20" s="18" t="s">
        <v>62</v>
      </c>
      <c r="D20" s="18" t="s">
        <v>63</v>
      </c>
    </row>
    <row r="21" ht="15.75" customHeight="1">
      <c r="A21" s="18" t="s">
        <v>51</v>
      </c>
      <c r="B21" s="18" t="s">
        <v>64</v>
      </c>
      <c r="C21" s="18" t="s">
        <v>65</v>
      </c>
      <c r="D21" s="18" t="s">
        <v>66</v>
      </c>
    </row>
    <row r="22" ht="15.75" customHeight="1">
      <c r="A22" s="18" t="s">
        <v>67</v>
      </c>
      <c r="B22" s="18" t="s">
        <v>68</v>
      </c>
      <c r="C22" s="18" t="s">
        <v>69</v>
      </c>
      <c r="D22" s="18" t="s">
        <v>70</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33.71"/>
    <col customWidth="1" min="3" max="4" width="43.0"/>
    <col customWidth="1" min="5" max="7" width="17.57"/>
    <col customWidth="1" min="8" max="8" width="20.86"/>
    <col customWidth="1" min="9" max="9" width="34.29"/>
    <col customWidth="1" min="10" max="10" width="15.71"/>
    <col customWidth="1" min="11" max="11" width="25.14"/>
    <col customWidth="1" min="12" max="26" width="8.71"/>
  </cols>
  <sheetData>
    <row r="1" ht="22.5" customHeight="1">
      <c r="A1" s="4" t="s">
        <v>71</v>
      </c>
      <c r="B1" s="4" t="s">
        <v>8</v>
      </c>
      <c r="C1" s="4" t="s">
        <v>9</v>
      </c>
      <c r="D1" s="4" t="s">
        <v>10</v>
      </c>
      <c r="E1" s="4" t="s">
        <v>72</v>
      </c>
      <c r="F1" s="4" t="s">
        <v>73</v>
      </c>
      <c r="G1" s="4" t="s">
        <v>74</v>
      </c>
      <c r="H1" s="4" t="s">
        <v>75</v>
      </c>
      <c r="I1" s="4" t="s">
        <v>76</v>
      </c>
      <c r="J1" s="4" t="s">
        <v>77</v>
      </c>
      <c r="K1" s="4" t="s">
        <v>78</v>
      </c>
    </row>
    <row r="2" ht="22.5" customHeight="1">
      <c r="A2" s="18" t="str">
        <f t="array" ref="A2">"select_multiple cl-role-" &amp; Choice_List_Projects[name]</f>
        <v>select_multiple cl-role-2026-02-DTC</v>
      </c>
      <c r="B2" s="18" t="str">
        <f t="array" ref="B2">"project_role_" &amp; Choice_List_Projects[name]</f>
        <v>project_role_2026-02-DTC</v>
      </c>
      <c r="C2" s="18" t="str">
        <f t="array" ref="C2">"In welcher Rolle siehst du dich im Projekt " &amp; Choice_List_Projects[label::Deutsch (de)] &amp; "?"</f>
        <v>In welcher Rolle siehst du dich im Projekt Dare2Care?</v>
      </c>
      <c r="D2" s="18" t="str">
        <f t="array" ref="D2">"Which role do you think you could fill in " &amp; Choice_List_Projects[label::English (en)] &amp; "?"</f>
        <v>Which role do you think you could fill in Dare2Care?</v>
      </c>
      <c r="G2" s="18" t="s">
        <v>79</v>
      </c>
      <c r="H2" s="19"/>
      <c r="I2" s="18" t="str">
        <f t="array" ref="I2">"selected(${project_id}, " &amp; "'"  &amp; Choice_List_Projects[name] &amp; "')"</f>
        <v>selected(${project_id}, '2026-02-DTC')</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sheetData>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29"/>
    <col customWidth="1" min="2" max="2" width="26.0"/>
    <col customWidth="1" min="3" max="3" width="33.71"/>
    <col customWidth="1" min="4" max="7" width="43.0"/>
    <col customWidth="1" min="8" max="8" width="17.57"/>
    <col customWidth="1" min="9" max="9" width="20.86"/>
    <col customWidth="1" min="10" max="10" width="33.14"/>
    <col customWidth="1" min="11" max="11" width="15.71"/>
    <col customWidth="1" min="12" max="12" width="25.14"/>
    <col customWidth="1" min="13" max="27" width="8.71"/>
  </cols>
  <sheetData>
    <row r="1" ht="22.5" customHeight="1">
      <c r="A1" s="20" t="s">
        <v>80</v>
      </c>
      <c r="B1" s="4" t="s">
        <v>71</v>
      </c>
      <c r="C1" s="4" t="s">
        <v>8</v>
      </c>
      <c r="D1" s="4" t="s">
        <v>9</v>
      </c>
      <c r="E1" s="4" t="s">
        <v>10</v>
      </c>
      <c r="F1" s="4" t="s">
        <v>72</v>
      </c>
      <c r="G1" s="4" t="s">
        <v>73</v>
      </c>
      <c r="H1" s="4" t="s">
        <v>74</v>
      </c>
      <c r="I1" s="4" t="s">
        <v>75</v>
      </c>
      <c r="J1" s="4" t="s">
        <v>76</v>
      </c>
      <c r="K1" s="4" t="s">
        <v>77</v>
      </c>
      <c r="L1" s="4" t="s">
        <v>78</v>
      </c>
      <c r="M1" s="20" t="s">
        <v>81</v>
      </c>
      <c r="N1" s="20" t="s">
        <v>82</v>
      </c>
      <c r="O1" s="20" t="s">
        <v>83</v>
      </c>
      <c r="P1" s="20" t="s">
        <v>84</v>
      </c>
      <c r="Q1" s="20" t="s">
        <v>85</v>
      </c>
      <c r="R1" s="20" t="s">
        <v>86</v>
      </c>
      <c r="S1" s="20" t="s">
        <v>87</v>
      </c>
      <c r="T1" s="20" t="s">
        <v>88</v>
      </c>
      <c r="U1" s="20" t="s">
        <v>89</v>
      </c>
      <c r="V1" s="20" t="s">
        <v>90</v>
      </c>
      <c r="W1" s="20" t="s">
        <v>91</v>
      </c>
      <c r="X1" s="20" t="s">
        <v>92</v>
      </c>
      <c r="Y1" s="20" t="s">
        <v>93</v>
      </c>
      <c r="Z1" s="20" t="s">
        <v>94</v>
      </c>
      <c r="AA1" s="20" t="s">
        <v>95</v>
      </c>
    </row>
    <row r="2" ht="22.5" customHeight="1">
      <c r="A2" s="21" t="b">
        <f>IFERROR(__xludf.DUMMYFUNCTION("OR(REGEXMATCH(B2, ""begin|end|group|text""), NOT(J2 = """"), REGEXMATCH(C2, ""_header""))"),TRUE)</f>
        <v>1</v>
      </c>
      <c r="B2" s="18" t="s">
        <v>96</v>
      </c>
      <c r="C2" s="18" t="s">
        <v>97</v>
      </c>
      <c r="D2" s="8" t="s">
        <v>98</v>
      </c>
      <c r="E2" s="8" t="s">
        <v>99</v>
      </c>
      <c r="H2" s="22" t="s">
        <v>100</v>
      </c>
      <c r="I2" s="22"/>
      <c r="J2" s="23" t="str">
        <f>IFERROR(__xludf.DUMMYFUNCTION("IF(OR(ISBLANK(C2), ISNA(FILTER(Choice_List_Roles[project_id], REGEXMATCH(Choice_List_Roles[Tools], ""\b"" &amp; C2 &amp; ""\b"")))), """", JOIN("" or "", ARRAYFORMULA(""selected(${project_role_"" &amp; FILTER(Choice_List_Roles[project_id], REGEXMATCH(Choice_List_Role"&amp;"s[Tools], ""\b"" &amp; C2 &amp; ""\b"")) &amp; ""}, '"" &amp; FILTER(Choice_List_Roles[name], REGEXMATCH(Choice_List_Roles[Tools], C2)) &amp; ""')"")))"),"")</f>
        <v/>
      </c>
      <c r="M2" s="21"/>
      <c r="N2" s="21"/>
      <c r="O2" s="21"/>
      <c r="P2" s="21"/>
      <c r="Q2" s="21"/>
      <c r="R2" s="21"/>
      <c r="S2" s="21"/>
      <c r="T2" s="21"/>
      <c r="U2" s="21"/>
      <c r="V2" s="21"/>
      <c r="W2" s="21"/>
      <c r="X2" s="21"/>
      <c r="Y2" s="21"/>
      <c r="Z2" s="21"/>
      <c r="AA2" s="21"/>
    </row>
    <row r="3" ht="22.5" customHeight="1">
      <c r="A3" s="21" t="b">
        <f>IFERROR(__xludf.DUMMYFUNCTION("OR(REGEXMATCH(B3, ""begin|end|group|text""), NOT(J3 = """"), REGEXMATCH(C3, ""_header""))"),TRUE)</f>
        <v>1</v>
      </c>
      <c r="B3" s="18" t="s">
        <v>96</v>
      </c>
      <c r="C3" s="18" t="s">
        <v>101</v>
      </c>
      <c r="D3" s="18" t="s">
        <v>15</v>
      </c>
      <c r="E3" s="8" t="s">
        <v>15</v>
      </c>
      <c r="H3" s="22" t="s">
        <v>100</v>
      </c>
      <c r="I3" s="22"/>
      <c r="J3" s="23" t="str">
        <f>IFERROR(__xludf.DUMMYFUNCTION("IF(OR(ISBLANK(C3), ISNA(FILTER(Choice_List_Roles[project_id], REGEXMATCH(Choice_List_Roles[Tools], ""\b"" &amp; C3 &amp; ""\b"")))), """", JOIN("" or "", ARRAYFORMULA(""selected(${project_role_"" &amp; FILTER(Choice_List_Roles[project_id], REGEXMATCH(Choice_List_Role"&amp;"s[Tools], ""\b"" &amp; C3 &amp; ""\b"")) &amp; ""}, '"" &amp; FILTER(Choice_List_Roles[name], REGEXMATCH(Choice_List_Roles[Tools], C3)) &amp; ""')"")))"),"")</f>
        <v/>
      </c>
      <c r="M3" s="21"/>
      <c r="N3" s="21"/>
      <c r="O3" s="21"/>
      <c r="P3" s="21"/>
      <c r="Q3" s="21"/>
      <c r="R3" s="21"/>
      <c r="S3" s="21"/>
      <c r="T3" s="21"/>
      <c r="U3" s="21"/>
      <c r="V3" s="21"/>
      <c r="W3" s="21"/>
      <c r="X3" s="21"/>
      <c r="Y3" s="21"/>
      <c r="Z3" s="21"/>
      <c r="AA3" s="21"/>
    </row>
    <row r="4" ht="22.5" customHeight="1">
      <c r="A4" s="21" t="b">
        <f>IFERROR(__xludf.DUMMYFUNCTION("OR(REGEXMATCH(B4, ""begin|end|group|text""), NOT(J4 = """"), REGEXMATCH(C4, ""_header""))"),TRUE)</f>
        <v>1</v>
      </c>
      <c r="B4" s="18" t="s">
        <v>102</v>
      </c>
      <c r="C4" s="18" t="s">
        <v>103</v>
      </c>
      <c r="D4" s="18" t="s">
        <v>104</v>
      </c>
      <c r="E4" s="18" t="s">
        <v>105</v>
      </c>
      <c r="F4" s="18" t="s">
        <v>106</v>
      </c>
      <c r="G4" s="18" t="s">
        <v>107</v>
      </c>
      <c r="H4" s="22" t="s">
        <v>100</v>
      </c>
      <c r="I4" s="22" t="s">
        <v>108</v>
      </c>
      <c r="J4" s="23" t="str">
        <f>IFERROR(__xludf.DUMMYFUNCTION("IF(OR(ISBLANK(C4), ISNA(FILTER(Choice_List_Roles[project_id], REGEXMATCH(Choice_List_Roles[Tools], ""\b"" &amp; C4 &amp; ""\b"")))), """", JOIN("" or "", ARRAYFORMULA(""selected(${project_role_"" &amp; FILTER(Choice_List_Roles[project_id], REGEXMATCH(Choice_List_Role"&amp;"s[Tools], ""\b"" &amp; C4 &amp; ""\b"")) &amp; ""}, '"" &amp; FILTER(Choice_List_Roles[name], REGEXMATCH(Choice_List_Roles[Tools], C4)) &amp; ""')"")))"),"")</f>
        <v/>
      </c>
      <c r="M4" s="21"/>
      <c r="N4" s="21"/>
      <c r="O4" s="21"/>
      <c r="P4" s="21"/>
      <c r="Q4" s="21"/>
      <c r="R4" s="21"/>
      <c r="S4" s="21"/>
      <c r="T4" s="21"/>
      <c r="U4" s="21"/>
      <c r="V4" s="21"/>
      <c r="W4" s="21"/>
      <c r="X4" s="21"/>
      <c r="Y4" s="21"/>
      <c r="Z4" s="21"/>
      <c r="AA4" s="21"/>
    </row>
    <row r="5" ht="22.5" customHeight="1">
      <c r="A5" s="21" t="b">
        <f>IFERROR(__xludf.DUMMYFUNCTION("OR(REGEXMATCH(B5, ""begin|end|group|text""), NOT(J5 = """"), REGEXMATCH(C5, ""_header""))"),FALSE)</f>
        <v>0</v>
      </c>
      <c r="B5" s="18" t="s">
        <v>102</v>
      </c>
      <c r="C5" s="18" t="s">
        <v>109</v>
      </c>
      <c r="D5" s="18" t="s">
        <v>110</v>
      </c>
      <c r="E5" s="18" t="s">
        <v>110</v>
      </c>
      <c r="H5" s="22" t="s">
        <v>79</v>
      </c>
      <c r="I5" s="22" t="s">
        <v>111</v>
      </c>
      <c r="J5" s="23" t="str">
        <f>IFERROR(__xludf.DUMMYFUNCTION("IF(OR(ISBLANK(C5), ISNA(FILTER(Choice_List_Roles[project_id], REGEXMATCH(Choice_List_Roles[Tools], ""\b"" &amp; C5 &amp; ""\b"")))), """", JOIN("" or "", ARRAYFORMULA(""selected(${project_role_"" &amp; FILTER(Choice_List_Roles[project_id], REGEXMATCH(Choice_List_Role"&amp;"s[Tools], ""\b"" &amp; C5 &amp; ""\b"")) &amp; ""}, '"" &amp; FILTER(Choice_List_Roles[name], REGEXMATCH(Choice_List_Roles[Tools], C5)) &amp; ""')"")))"),"")</f>
        <v/>
      </c>
      <c r="M5" s="21"/>
      <c r="N5" s="21"/>
      <c r="O5" s="21"/>
      <c r="P5" s="21"/>
      <c r="Q5" s="21"/>
      <c r="R5" s="21"/>
      <c r="S5" s="21"/>
      <c r="T5" s="21"/>
      <c r="U5" s="21"/>
      <c r="V5" s="21"/>
      <c r="W5" s="21"/>
      <c r="X5" s="21"/>
      <c r="Y5" s="21"/>
      <c r="Z5" s="21"/>
      <c r="AA5" s="21"/>
    </row>
    <row r="6" ht="22.5" customHeight="1">
      <c r="A6" s="21" t="b">
        <f>IFERROR(__xludf.DUMMYFUNCTION("OR(REGEXMATCH(B6, ""begin|end|group|text""), NOT(J6 = """"), REGEXMATCH(C6, ""_header""))"),FALSE)</f>
        <v>0</v>
      </c>
      <c r="B6" s="18" t="s">
        <v>102</v>
      </c>
      <c r="C6" s="18" t="s">
        <v>112</v>
      </c>
      <c r="D6" s="18" t="s">
        <v>113</v>
      </c>
      <c r="E6" s="18" t="s">
        <v>113</v>
      </c>
      <c r="H6" s="22" t="s">
        <v>79</v>
      </c>
      <c r="I6" s="22" t="s">
        <v>111</v>
      </c>
      <c r="J6" s="23" t="str">
        <f>IFERROR(__xludf.DUMMYFUNCTION("IF(OR(ISBLANK(C6), ISNA(FILTER(Choice_List_Roles[project_id], REGEXMATCH(Choice_List_Roles[Tools], ""\b"" &amp; C6 &amp; ""\b"")))), """", JOIN("" or "", ARRAYFORMULA(""selected(${project_role_"" &amp; FILTER(Choice_List_Roles[project_id], REGEXMATCH(Choice_List_Role"&amp;"s[Tools], ""\b"" &amp; C6 &amp; ""\b"")) &amp; ""}, '"" &amp; FILTER(Choice_List_Roles[name], REGEXMATCH(Choice_List_Roles[Tools], C6)) &amp; ""')"")))"),"")</f>
        <v/>
      </c>
      <c r="M6" s="21"/>
      <c r="N6" s="21"/>
      <c r="O6" s="21"/>
      <c r="P6" s="21"/>
      <c r="Q6" s="21"/>
      <c r="R6" s="21"/>
      <c r="S6" s="21"/>
      <c r="T6" s="21"/>
      <c r="U6" s="21"/>
      <c r="V6" s="21"/>
      <c r="W6" s="21"/>
      <c r="X6" s="21"/>
      <c r="Y6" s="21"/>
      <c r="Z6" s="21"/>
      <c r="AA6" s="21"/>
    </row>
    <row r="7" ht="22.5" customHeight="1">
      <c r="A7" s="21" t="b">
        <f>IFERROR(__xludf.DUMMYFUNCTION("OR(REGEXMATCH(B7, ""begin|end|group|text""), NOT(J7 = """"), REGEXMATCH(C7, ""_header""))"),FALSE)</f>
        <v>0</v>
      </c>
      <c r="B7" s="18" t="s">
        <v>102</v>
      </c>
      <c r="C7" s="18" t="s">
        <v>114</v>
      </c>
      <c r="D7" s="18" t="s">
        <v>115</v>
      </c>
      <c r="E7" s="18" t="s">
        <v>115</v>
      </c>
      <c r="H7" s="22" t="s">
        <v>79</v>
      </c>
      <c r="I7" s="22" t="s">
        <v>111</v>
      </c>
      <c r="J7" s="23" t="str">
        <f>IFERROR(__xludf.DUMMYFUNCTION("IF(OR(ISBLANK(C7), ISNA(FILTER(Choice_List_Roles[project_id], REGEXMATCH(Choice_List_Roles[Tools], ""\b"" &amp; C7 &amp; ""\b"")))), """", JOIN("" or "", ARRAYFORMULA(""selected(${project_role_"" &amp; FILTER(Choice_List_Roles[project_id], REGEXMATCH(Choice_List_Role"&amp;"s[Tools], ""\b"" &amp; C7 &amp; ""\b"")) &amp; ""}, '"" &amp; FILTER(Choice_List_Roles[name], REGEXMATCH(Choice_List_Roles[Tools], C7)) &amp; ""')"")))"),"")</f>
        <v/>
      </c>
      <c r="M7" s="21"/>
      <c r="N7" s="21"/>
      <c r="O7" s="21"/>
      <c r="P7" s="21"/>
      <c r="Q7" s="21"/>
      <c r="R7" s="21"/>
      <c r="S7" s="21"/>
      <c r="T7" s="21"/>
      <c r="U7" s="21"/>
      <c r="V7" s="21"/>
      <c r="W7" s="21"/>
      <c r="X7" s="21"/>
      <c r="Y7" s="21"/>
      <c r="Z7" s="21"/>
      <c r="AA7" s="21"/>
    </row>
    <row r="8" ht="22.5" customHeight="1">
      <c r="A8" s="21" t="b">
        <f>IFERROR(__xludf.DUMMYFUNCTION("OR(REGEXMATCH(B8, ""begin|end|group|text""), NOT(J8 = """"), REGEXMATCH(C8, ""_header""))"),FALSE)</f>
        <v>0</v>
      </c>
      <c r="B8" s="18" t="s">
        <v>102</v>
      </c>
      <c r="C8" s="18" t="s">
        <v>116</v>
      </c>
      <c r="D8" s="18" t="s">
        <v>117</v>
      </c>
      <c r="E8" s="18" t="s">
        <v>117</v>
      </c>
      <c r="H8" s="22" t="s">
        <v>79</v>
      </c>
      <c r="I8" s="22" t="s">
        <v>111</v>
      </c>
      <c r="J8" s="23" t="str">
        <f>IFERROR(__xludf.DUMMYFUNCTION("IF(OR(ISBLANK(C8), ISNA(FILTER(Choice_List_Roles[project_id], REGEXMATCH(Choice_List_Roles[Tools], ""\b"" &amp; C8 &amp; ""\b"")))), """", JOIN("" or "", ARRAYFORMULA(""selected(${project_role_"" &amp; FILTER(Choice_List_Roles[project_id], REGEXMATCH(Choice_List_Role"&amp;"s[Tools], ""\b"" &amp; C8 &amp; ""\b"")) &amp; ""}, '"" &amp; FILTER(Choice_List_Roles[name], REGEXMATCH(Choice_List_Roles[Tools], C8)) &amp; ""')"")))"),"")</f>
        <v/>
      </c>
      <c r="M8" s="21"/>
      <c r="N8" s="21"/>
      <c r="O8" s="21"/>
      <c r="P8" s="21"/>
      <c r="Q8" s="21"/>
      <c r="R8" s="21"/>
      <c r="S8" s="21"/>
      <c r="T8" s="21"/>
      <c r="U8" s="21"/>
      <c r="V8" s="21"/>
      <c r="W8" s="21"/>
      <c r="X8" s="21"/>
      <c r="Y8" s="21"/>
      <c r="Z8" s="21"/>
      <c r="AA8" s="21"/>
    </row>
    <row r="9" ht="22.5" customHeight="1">
      <c r="A9" s="21" t="b">
        <f>IFERROR(__xludf.DUMMYFUNCTION("OR(REGEXMATCH(B9, ""begin|end|group|text""), NOT(J9 = """"), REGEXMATCH(C9, ""_header""))"),FALSE)</f>
        <v>0</v>
      </c>
      <c r="B9" s="18" t="s">
        <v>102</v>
      </c>
      <c r="C9" s="18" t="s">
        <v>118</v>
      </c>
      <c r="D9" s="18" t="s">
        <v>119</v>
      </c>
      <c r="E9" s="18" t="s">
        <v>119</v>
      </c>
      <c r="H9" s="22" t="s">
        <v>79</v>
      </c>
      <c r="I9" s="22" t="s">
        <v>111</v>
      </c>
      <c r="J9" s="23" t="str">
        <f>IFERROR(__xludf.DUMMYFUNCTION("IF(OR(ISBLANK(C9), ISNA(FILTER(Choice_List_Roles[project_id], REGEXMATCH(Choice_List_Roles[Tools], ""\b"" &amp; C9 &amp; ""\b"")))), """", JOIN("" or "", ARRAYFORMULA(""selected(${project_role_"" &amp; FILTER(Choice_List_Roles[project_id], REGEXMATCH(Choice_List_Role"&amp;"s[Tools], ""\b"" &amp; C9 &amp; ""\b"")) &amp; ""}, '"" &amp; FILTER(Choice_List_Roles[name], REGEXMATCH(Choice_List_Roles[Tools], C9)) &amp; ""')"")))"),"")</f>
        <v/>
      </c>
      <c r="M9" s="21"/>
      <c r="N9" s="21"/>
      <c r="O9" s="21"/>
      <c r="P9" s="21"/>
      <c r="Q9" s="21"/>
      <c r="R9" s="21"/>
      <c r="S9" s="21"/>
      <c r="T9" s="21"/>
      <c r="U9" s="21"/>
      <c r="V9" s="21"/>
      <c r="W9" s="21"/>
      <c r="X9" s="21"/>
      <c r="Y9" s="21"/>
      <c r="Z9" s="21"/>
      <c r="AA9" s="21"/>
    </row>
    <row r="10" ht="22.5" customHeight="1">
      <c r="A10" s="21" t="b">
        <f>IFERROR(__xludf.DUMMYFUNCTION("OR(REGEXMATCH(B10, ""begin|end|group|text""), NOT(J10 = """"), REGEXMATCH(C10, ""_header""))"),FALSE)</f>
        <v>0</v>
      </c>
      <c r="B10" s="18" t="s">
        <v>102</v>
      </c>
      <c r="C10" s="18" t="s">
        <v>120</v>
      </c>
      <c r="D10" s="18" t="s">
        <v>121</v>
      </c>
      <c r="E10" s="18" t="s">
        <v>121</v>
      </c>
      <c r="H10" s="22" t="s">
        <v>79</v>
      </c>
      <c r="I10" s="22" t="s">
        <v>111</v>
      </c>
      <c r="J10" s="23" t="str">
        <f>IFERROR(__xludf.DUMMYFUNCTION("IF(OR(ISBLANK(C10), ISNA(FILTER(Choice_List_Roles[project_id], REGEXMATCH(Choice_List_Roles[Tools], ""\b"" &amp; C10 &amp; ""\b"")))), """", JOIN("" or "", ARRAYFORMULA(""selected(${project_role_"" &amp; FILTER(Choice_List_Roles[project_id], REGEXMATCH(Choice_List_Ro"&amp;"les[Tools], ""\b"" &amp; C10 &amp; ""\b"")) &amp; ""}, '"" &amp; FILTER(Choice_List_Roles[name], REGEXMATCH(Choice_List_Roles[Tools], C10)) &amp; ""')"")))"),"")</f>
        <v/>
      </c>
      <c r="M10" s="21"/>
      <c r="N10" s="21"/>
      <c r="O10" s="21"/>
      <c r="P10" s="21"/>
      <c r="Q10" s="21"/>
      <c r="R10" s="21"/>
      <c r="S10" s="21"/>
      <c r="T10" s="21"/>
      <c r="U10" s="21"/>
      <c r="V10" s="21"/>
      <c r="W10" s="21"/>
      <c r="X10" s="21"/>
      <c r="Y10" s="21"/>
      <c r="Z10" s="21"/>
      <c r="AA10" s="21"/>
    </row>
    <row r="11" ht="22.5" customHeight="1">
      <c r="A11" s="21" t="b">
        <f>IFERROR(__xludf.DUMMYFUNCTION("OR(REGEXMATCH(B11, ""begin|end|group|text""), NOT(J11 = """"), REGEXMATCH(C11, ""_header""))"),FALSE)</f>
        <v>0</v>
      </c>
      <c r="B11" s="18" t="s">
        <v>102</v>
      </c>
      <c r="C11" s="18" t="s">
        <v>122</v>
      </c>
      <c r="D11" s="18" t="s">
        <v>123</v>
      </c>
      <c r="E11" s="18" t="s">
        <v>123</v>
      </c>
      <c r="H11" s="22" t="s">
        <v>79</v>
      </c>
      <c r="I11" s="22" t="s">
        <v>111</v>
      </c>
      <c r="J11" s="23" t="str">
        <f>IFERROR(__xludf.DUMMYFUNCTION("IF(OR(ISBLANK(C11), ISNA(FILTER(Choice_List_Roles[project_id], REGEXMATCH(Choice_List_Roles[Tools], ""\b"" &amp; C11 &amp; ""\b"")))), """", JOIN("" or "", ARRAYFORMULA(""selected(${project_role_"" &amp; FILTER(Choice_List_Roles[project_id], REGEXMATCH(Choice_List_Ro"&amp;"les[Tools], ""\b"" &amp; C11 &amp; ""\b"")) &amp; ""}, '"" &amp; FILTER(Choice_List_Roles[name], REGEXMATCH(Choice_List_Roles[Tools], C11)) &amp; ""')"")))"),"")</f>
        <v/>
      </c>
      <c r="M11" s="21"/>
      <c r="N11" s="21"/>
      <c r="O11" s="21"/>
      <c r="P11" s="21"/>
      <c r="Q11" s="21"/>
      <c r="R11" s="21"/>
      <c r="S11" s="21"/>
      <c r="T11" s="21"/>
      <c r="U11" s="21"/>
      <c r="V11" s="21"/>
      <c r="W11" s="21"/>
      <c r="X11" s="21"/>
      <c r="Y11" s="21"/>
      <c r="Z11" s="21"/>
      <c r="AA11" s="21"/>
    </row>
    <row r="12" ht="22.5" customHeight="1">
      <c r="A12" s="21" t="b">
        <f>IFERROR(__xludf.DUMMYFUNCTION("OR(REGEXMATCH(B12, ""begin|end|group|text""), NOT(J12 = """"), REGEXMATCH(C12, ""_header""))"),FALSE)</f>
        <v>0</v>
      </c>
      <c r="B12" s="18" t="s">
        <v>102</v>
      </c>
      <c r="C12" s="8" t="s">
        <v>124</v>
      </c>
      <c r="D12" s="8" t="s">
        <v>125</v>
      </c>
      <c r="E12" s="8" t="s">
        <v>125</v>
      </c>
      <c r="H12" s="22" t="s">
        <v>79</v>
      </c>
      <c r="I12" s="22" t="s">
        <v>111</v>
      </c>
      <c r="J12" s="23" t="str">
        <f>IFERROR(__xludf.DUMMYFUNCTION("IF(OR(ISBLANK(C12), ISNA(FILTER(Choice_List_Roles[project_id], REGEXMATCH(Choice_List_Roles[Tools], ""\b"" &amp; C12 &amp; ""\b"")))), """", JOIN("" or "", ARRAYFORMULA(""selected(${project_role_"" &amp; FILTER(Choice_List_Roles[project_id], REGEXMATCH(Choice_List_Ro"&amp;"les[Tools], ""\b"" &amp; C12 &amp; ""\b"")) &amp; ""}, '"" &amp; FILTER(Choice_List_Roles[name], REGEXMATCH(Choice_List_Roles[Tools], C12)) &amp; ""')"")))"),"")</f>
        <v/>
      </c>
      <c r="M12" s="21"/>
      <c r="N12" s="21"/>
      <c r="O12" s="21"/>
      <c r="P12" s="21"/>
      <c r="Q12" s="21"/>
      <c r="R12" s="21"/>
      <c r="S12" s="21"/>
      <c r="T12" s="21"/>
      <c r="U12" s="21"/>
      <c r="V12" s="21"/>
      <c r="W12" s="21"/>
      <c r="X12" s="21"/>
      <c r="Y12" s="21"/>
      <c r="Z12" s="21"/>
      <c r="AA12" s="21"/>
    </row>
    <row r="13" ht="22.5" customHeight="1">
      <c r="A13" s="21" t="b">
        <f>IFERROR(__xludf.DUMMYFUNCTION("OR(REGEXMATCH(B13, ""begin|end|group|text""), NOT(J13 = """"), REGEXMATCH(C13, ""_header""))"),FALSE)</f>
        <v>0</v>
      </c>
      <c r="B13" s="18" t="s">
        <v>102</v>
      </c>
      <c r="C13" s="8" t="s">
        <v>126</v>
      </c>
      <c r="D13" s="8" t="s">
        <v>127</v>
      </c>
      <c r="E13" s="8" t="s">
        <v>127</v>
      </c>
      <c r="H13" s="22" t="s">
        <v>79</v>
      </c>
      <c r="I13" s="22" t="s">
        <v>111</v>
      </c>
      <c r="J13" s="23" t="str">
        <f>IFERROR(__xludf.DUMMYFUNCTION("IF(OR(ISBLANK(C13), ISNA(FILTER(Choice_List_Roles[project_id], REGEXMATCH(Choice_List_Roles[Tools], ""\b"" &amp; C13 &amp; ""\b"")))), """", JOIN("" or "", ARRAYFORMULA(""selected(${project_role_"" &amp; FILTER(Choice_List_Roles[project_id], REGEXMATCH(Choice_List_Ro"&amp;"les[Tools], ""\b"" &amp; C13 &amp; ""\b"")) &amp; ""}, '"" &amp; FILTER(Choice_List_Roles[name], REGEXMATCH(Choice_List_Roles[Tools], C13)) &amp; ""')"")))"),"")</f>
        <v/>
      </c>
      <c r="M13" s="21"/>
      <c r="N13" s="21"/>
      <c r="O13" s="21"/>
      <c r="P13" s="21"/>
      <c r="Q13" s="21"/>
      <c r="R13" s="21"/>
      <c r="S13" s="21"/>
      <c r="T13" s="21"/>
      <c r="U13" s="21"/>
      <c r="V13" s="21"/>
      <c r="W13" s="21"/>
      <c r="X13" s="21"/>
      <c r="Y13" s="21"/>
      <c r="Z13" s="21"/>
      <c r="AA13" s="21"/>
    </row>
    <row r="14" ht="22.5" customHeight="1">
      <c r="A14" s="21" t="b">
        <f>IFERROR(__xludf.DUMMYFUNCTION("OR(REGEXMATCH(B14, ""begin|end|group|text""), NOT(J14 = """"), REGEXMATCH(C14, ""_header""))"),FALSE)</f>
        <v>0</v>
      </c>
      <c r="B14" s="18" t="s">
        <v>102</v>
      </c>
      <c r="C14" s="8" t="s">
        <v>128</v>
      </c>
      <c r="D14" s="8" t="s">
        <v>129</v>
      </c>
      <c r="E14" s="8" t="s">
        <v>129</v>
      </c>
      <c r="H14" s="22" t="s">
        <v>79</v>
      </c>
      <c r="I14" s="22" t="s">
        <v>111</v>
      </c>
      <c r="J14" s="23" t="str">
        <f>IFERROR(__xludf.DUMMYFUNCTION("IF(OR(ISBLANK(C14), ISNA(FILTER(Choice_List_Roles[project_id], REGEXMATCH(Choice_List_Roles[Tools], ""\b"" &amp; C14 &amp; ""\b"")))), """", JOIN("" or "", ARRAYFORMULA(""selected(${project_role_"" &amp; FILTER(Choice_List_Roles[project_id], REGEXMATCH(Choice_List_Ro"&amp;"les[Tools], ""\b"" &amp; C14 &amp; ""\b"")) &amp; ""}, '"" &amp; FILTER(Choice_List_Roles[name], REGEXMATCH(Choice_List_Roles[Tools], C14)) &amp; ""')"")))"),"")</f>
        <v/>
      </c>
      <c r="M14" s="21"/>
      <c r="N14" s="21"/>
      <c r="O14" s="21"/>
      <c r="P14" s="21"/>
      <c r="Q14" s="21"/>
      <c r="R14" s="21"/>
      <c r="S14" s="21"/>
      <c r="T14" s="21"/>
      <c r="U14" s="21"/>
      <c r="V14" s="21"/>
      <c r="W14" s="21"/>
      <c r="X14" s="21"/>
      <c r="Y14" s="21"/>
      <c r="Z14" s="21"/>
      <c r="AA14" s="21"/>
    </row>
    <row r="15" ht="22.5" customHeight="1">
      <c r="A15" s="24" t="b">
        <f>IFERROR(__xludf.DUMMYFUNCTION("OR(REGEXMATCH(B15, ""begin|end|group|text""), NOT(J15 = """"), REGEXMATCH(C15, ""_header""))"),TRUE)</f>
        <v>1</v>
      </c>
      <c r="B15" s="25" t="s">
        <v>102</v>
      </c>
      <c r="C15" s="26" t="s">
        <v>23</v>
      </c>
      <c r="D15" s="26" t="s">
        <v>130</v>
      </c>
      <c r="E15" s="26" t="s">
        <v>130</v>
      </c>
      <c r="F15" s="27"/>
      <c r="G15" s="27"/>
      <c r="H15" s="28" t="s">
        <v>79</v>
      </c>
      <c r="I15" s="29" t="s">
        <v>111</v>
      </c>
      <c r="J15" s="27" t="str">
        <f>IFERROR(__xludf.DUMMYFUNCTION("IF(OR(ISBLANK(C15), ISNA(FILTER(roles!$E$2:$E$11, REGEXMATCH(roles!$F$2:$F$11, ""\b"" &amp; C15 &amp; ""\b"")))), """", JOIN("" or "", ARRAYFORMULA(""selected(${project_role_"" &amp; FILTER(roles!$E$2:$E$11, REGEXMATCH(roles!$F$2:$F$11, ""\b"" &amp; C15 &amp; ""\b"")) &amp; ""},"&amp;" '"" &amp; FILTER(roles!$B$2:$B$11, REGEXMATCH(roles!$F$2:$F$11, C15)) &amp; ""')"")))"),"selected(${project_role_2026-02-DTC}, 'role-surveydesign-datacollection')")</f>
        <v>selected(${project_role_2026-02-DTC}, 'role-surveydesign-datacollection')</v>
      </c>
      <c r="K15" s="27"/>
      <c r="L15" s="30"/>
      <c r="M15" s="31"/>
      <c r="N15" s="31"/>
      <c r="O15" s="31"/>
      <c r="P15" s="31"/>
      <c r="Q15" s="31"/>
      <c r="R15" s="31"/>
      <c r="S15" s="31"/>
      <c r="T15" s="31"/>
      <c r="U15" s="31"/>
      <c r="V15" s="31"/>
      <c r="W15" s="31"/>
      <c r="X15" s="31"/>
      <c r="Y15" s="31"/>
      <c r="Z15" s="31"/>
      <c r="AA15" s="31"/>
    </row>
    <row r="16" ht="15.75" customHeight="1">
      <c r="A16" s="24" t="b">
        <f>IFERROR(__xludf.DUMMYFUNCTION("OR(REGEXMATCH(B16, ""begin|end|group|text""), NOT(J16 = """"), REGEXMATCH(C16, ""_header""))"),FALSE)</f>
        <v>0</v>
      </c>
      <c r="B16" s="18" t="s">
        <v>102</v>
      </c>
      <c r="C16" s="8" t="s">
        <v>131</v>
      </c>
      <c r="D16" s="8" t="s">
        <v>132</v>
      </c>
      <c r="E16" s="8" t="s">
        <v>132</v>
      </c>
      <c r="H16" s="22" t="s">
        <v>79</v>
      </c>
      <c r="I16" s="22" t="s">
        <v>111</v>
      </c>
      <c r="J16" s="23" t="str">
        <f>IFERROR(__xludf.DUMMYFUNCTION("IF(OR(ISBLANK(C16), ISNA(FILTER(Choice_List_Roles[project_id], REGEXMATCH(Choice_List_Roles[Tools], ""\b"" &amp; C16 &amp; ""\b"")))), """", JOIN("" or "", ARRAYFORMULA(""selected(${project_role_"" &amp; FILTER(Choice_List_Roles[project_id], REGEXMATCH(Choice_List_Ro"&amp;"les[Tools], ""\b"" &amp; C16 &amp; ""\b"")) &amp; ""}, '"" &amp; FILTER(Choice_List_Roles[name], REGEXMATCH(Choice_List_Roles[Tools], C16)) &amp; ""')"")))"),"")</f>
        <v/>
      </c>
      <c r="M16" s="21"/>
      <c r="N16" s="21"/>
      <c r="O16" s="21"/>
      <c r="P16" s="21"/>
      <c r="Q16" s="21"/>
      <c r="R16" s="21"/>
      <c r="S16" s="21"/>
      <c r="T16" s="21"/>
      <c r="U16" s="21"/>
      <c r="V16" s="21"/>
      <c r="W16" s="21"/>
      <c r="X16" s="21"/>
      <c r="Y16" s="21"/>
      <c r="Z16" s="21"/>
      <c r="AA16" s="21"/>
    </row>
    <row r="17" ht="15.75" customHeight="1">
      <c r="A17" s="24" t="b">
        <f>IFERROR(__xludf.DUMMYFUNCTION("OR(REGEXMATCH(B17, ""begin|end|group|text""), NOT(J17 = """"), REGEXMATCH(C17, ""_header""))"),TRUE)</f>
        <v>1</v>
      </c>
      <c r="B17" s="18" t="s">
        <v>133</v>
      </c>
      <c r="C17" s="8" t="s">
        <v>134</v>
      </c>
      <c r="D17" s="8" t="s">
        <v>135</v>
      </c>
      <c r="E17" s="8" t="s">
        <v>136</v>
      </c>
      <c r="F17" s="8" t="s">
        <v>137</v>
      </c>
      <c r="G17" s="8" t="s">
        <v>138</v>
      </c>
      <c r="H17" s="22" t="s">
        <v>100</v>
      </c>
      <c r="I17" s="32" t="s">
        <v>139</v>
      </c>
    </row>
    <row r="18" ht="15.75" customHeight="1">
      <c r="A18" s="21" t="b">
        <f>IFERROR(__xludf.DUMMYFUNCTION("OR(REGEXMATCH(B18, ""begin|end|group|text""), NOT(J18 = """"), REGEXMATCH(C18, ""_header""))"),TRUE)</f>
        <v>1</v>
      </c>
      <c r="B18" s="18" t="s">
        <v>140</v>
      </c>
      <c r="H18" s="22"/>
      <c r="I18" s="22"/>
      <c r="J18" s="23" t="str">
        <f>IFERROR(__xludf.DUMMYFUNCTION("IF(OR(ISBLANK(C18), ISNA(FILTER(Choice_List_Roles[project_id], REGEXMATCH(Choice_List_Roles[Tools], ""\b"" &amp; C18 &amp; ""\b"")))), """", JOIN("" or "", ARRAYFORMULA(""selected(${project_role_"" &amp; FILTER(Choice_List_Roles[project_id], REGEXMATCH(Choice_List_Ro"&amp;"les[Tools], ""\b"" &amp; C18 &amp; ""\b"")) &amp; ""}, '"" &amp; FILTER(Choice_List_Roles[name], REGEXMATCH(Choice_List_Roles[Tools], C18)) &amp; ""')"")))"),"")</f>
        <v/>
      </c>
      <c r="M18" s="21"/>
      <c r="N18" s="21"/>
      <c r="O18" s="21"/>
      <c r="P18" s="21"/>
      <c r="Q18" s="21"/>
      <c r="R18" s="21"/>
      <c r="S18" s="21"/>
      <c r="T18" s="21"/>
      <c r="U18" s="21"/>
      <c r="V18" s="21"/>
      <c r="W18" s="21"/>
      <c r="X18" s="21"/>
      <c r="Y18" s="21"/>
      <c r="Z18" s="21"/>
      <c r="AA18" s="21"/>
    </row>
    <row r="19" ht="15.75" customHeight="1">
      <c r="A19" s="21" t="b">
        <f>IFERROR(__xludf.DUMMYFUNCTION("OR(REGEXMATCH(B19, ""begin|end|group|text""), NOT(J19 = """"), REGEXMATCH(C19, ""_header""))"),TRUE)</f>
        <v>1</v>
      </c>
      <c r="B19" s="18" t="s">
        <v>96</v>
      </c>
      <c r="C19" s="18" t="s">
        <v>141</v>
      </c>
      <c r="D19" s="18" t="s">
        <v>142</v>
      </c>
      <c r="E19" s="8" t="s">
        <v>16</v>
      </c>
      <c r="H19" s="22" t="s">
        <v>100</v>
      </c>
      <c r="I19" s="22" t="s">
        <v>143</v>
      </c>
      <c r="J19" s="23" t="str">
        <f>IFERROR(__xludf.DUMMYFUNCTION("IF(OR(ISBLANK(C19), ISNA(FILTER(Choice_List_Roles[project_id], REGEXMATCH(Choice_List_Roles[Tools], ""\b"" &amp; C19 &amp; ""\b"")))), """", JOIN("" or "", ARRAYFORMULA(""selected(${project_role_"" &amp; FILTER(Choice_List_Roles[project_id], REGEXMATCH(Choice_List_Ro"&amp;"les[Tools], ""\b"" &amp; C19 &amp; ""\b"")) &amp; ""}, '"" &amp; FILTER(Choice_List_Roles[name], REGEXMATCH(Choice_List_Roles[Tools], C19)) &amp; ""')"")))"),"")</f>
        <v/>
      </c>
      <c r="M19" s="21"/>
      <c r="N19" s="21"/>
      <c r="O19" s="21"/>
      <c r="P19" s="21"/>
      <c r="Q19" s="21"/>
      <c r="R19" s="21"/>
      <c r="S19" s="21"/>
      <c r="T19" s="21"/>
      <c r="U19" s="21"/>
      <c r="V19" s="21"/>
      <c r="W19" s="21"/>
      <c r="X19" s="21"/>
      <c r="Y19" s="21"/>
      <c r="Z19" s="21"/>
      <c r="AA19" s="21"/>
    </row>
    <row r="20" ht="15.75" customHeight="1">
      <c r="A20" s="21" t="b">
        <f>IFERROR(__xludf.DUMMYFUNCTION("OR(REGEXMATCH(B20, ""begin|end|group|text""), NOT(J20 = """"), REGEXMATCH(C20, ""_header""))"),TRUE)</f>
        <v>1</v>
      </c>
      <c r="B20" s="18" t="s">
        <v>144</v>
      </c>
      <c r="C20" s="18" t="s">
        <v>145</v>
      </c>
      <c r="D20" s="18" t="s">
        <v>146</v>
      </c>
      <c r="E20" s="18" t="s">
        <v>147</v>
      </c>
      <c r="F20" s="18" t="s">
        <v>106</v>
      </c>
      <c r="G20" s="18" t="s">
        <v>107</v>
      </c>
      <c r="H20" s="22" t="s">
        <v>100</v>
      </c>
      <c r="I20" s="22" t="s">
        <v>108</v>
      </c>
      <c r="J20" s="23" t="str">
        <f>IFERROR(__xludf.DUMMYFUNCTION("IF(OR(ISBLANK(C20), ISNA(FILTER(Choice_List_Roles[project_id], REGEXMATCH(Choice_List_Roles[Tools], ""\b"" &amp; C20 &amp; ""\b"")))), """", JOIN("" or "", ARRAYFORMULA(""selected(${project_role_"" &amp; FILTER(Choice_List_Roles[project_id], REGEXMATCH(Choice_List_Ro"&amp;"les[Tools], ""\b"" &amp; C20 &amp; ""\b"")) &amp; ""}, '"" &amp; FILTER(Choice_List_Roles[name], REGEXMATCH(Choice_List_Roles[Tools], C20)) &amp; ""')"")))"),"")</f>
        <v/>
      </c>
      <c r="M20" s="21"/>
      <c r="N20" s="21"/>
      <c r="O20" s="21"/>
      <c r="P20" s="21"/>
      <c r="Q20" s="21"/>
      <c r="R20" s="21"/>
      <c r="S20" s="21"/>
      <c r="T20" s="21"/>
      <c r="U20" s="21"/>
      <c r="V20" s="21"/>
      <c r="W20" s="21"/>
      <c r="X20" s="21"/>
      <c r="Y20" s="21"/>
      <c r="Z20" s="21"/>
      <c r="AA20" s="21"/>
    </row>
    <row r="21" ht="15.75" customHeight="1">
      <c r="A21" s="21" t="b">
        <f>IFERROR(__xludf.DUMMYFUNCTION("OR(REGEXMATCH(B21, ""begin|end|group|text""), NOT(J21 = """"), REGEXMATCH(C21, ""_header""))"),FALSE)</f>
        <v>0</v>
      </c>
      <c r="B21" s="18" t="s">
        <v>144</v>
      </c>
      <c r="C21" s="18" t="s">
        <v>148</v>
      </c>
      <c r="D21" s="18" t="s">
        <v>149</v>
      </c>
      <c r="E21" s="18" t="s">
        <v>150</v>
      </c>
      <c r="H21" s="22" t="s">
        <v>79</v>
      </c>
      <c r="I21" s="22" t="s">
        <v>111</v>
      </c>
      <c r="J21" s="23" t="str">
        <f>IFERROR(__xludf.DUMMYFUNCTION("IF(OR(ISBLANK(C21), ISNA(FILTER(Choice_List_Roles[project_id], REGEXMATCH(Choice_List_Roles[Techniques], ""\b"" &amp; C21 &amp; ""\b"")))), """", JOIN("" or "", ARRAYFORMULA(""selected(${project_role_"" &amp; FILTER(Choice_List_Roles[project_id], REGEXMATCH(Choice_Li"&amp;"st_Roles[Techniques], ""\b"" &amp; C21 &amp; ""\b"")) &amp; ""}, '"" &amp; FILTER(Choice_List_Roles[name], REGEXMATCH(Choice_List_Roles[Techniques], C21)) &amp; ""')"")))"),"")</f>
        <v/>
      </c>
      <c r="M21" s="21"/>
      <c r="N21" s="21"/>
      <c r="O21" s="21"/>
      <c r="P21" s="21"/>
      <c r="Q21" s="21"/>
      <c r="R21" s="21"/>
      <c r="S21" s="21"/>
      <c r="T21" s="21"/>
      <c r="U21" s="21"/>
      <c r="V21" s="21"/>
      <c r="W21" s="21"/>
      <c r="X21" s="21"/>
      <c r="Y21" s="21"/>
      <c r="Z21" s="21"/>
      <c r="AA21" s="21"/>
    </row>
    <row r="22" ht="15.75" customHeight="1">
      <c r="A22" s="21" t="b">
        <f>IFERROR(__xludf.DUMMYFUNCTION("OR(REGEXMATCH(B22, ""begin|end|group|text""), NOT(J22 = """"), REGEXMATCH(C22, ""_header""))"),FALSE)</f>
        <v>0</v>
      </c>
      <c r="B22" s="18" t="s">
        <v>144</v>
      </c>
      <c r="C22" s="18" t="s">
        <v>151</v>
      </c>
      <c r="D22" s="18" t="s">
        <v>152</v>
      </c>
      <c r="E22" s="18" t="s">
        <v>153</v>
      </c>
      <c r="H22" s="22" t="s">
        <v>79</v>
      </c>
      <c r="I22" s="22" t="s">
        <v>111</v>
      </c>
      <c r="J22" s="23" t="str">
        <f>IFERROR(__xludf.DUMMYFUNCTION("IF(OR(ISBLANK(C22), ISNA(FILTER(Choice_List_Roles[project_id], REGEXMATCH(Choice_List_Roles[Techniques], ""\b"" &amp; C22 &amp; ""\b"")))), """", JOIN("" or "", ARRAYFORMULA(""selected(${project_role_"" &amp; FILTER(Choice_List_Roles[project_id], REGEXMATCH(Choice_Li"&amp;"st_Roles[Techniques], ""\b"" &amp; C22 &amp; ""\b"")) &amp; ""}, '"" &amp; FILTER(Choice_List_Roles[name], REGEXMATCH(Choice_List_Roles[Techniques], C22)) &amp; ""')"")))"),"")</f>
        <v/>
      </c>
      <c r="M22" s="21"/>
      <c r="N22" s="21"/>
      <c r="O22" s="21"/>
      <c r="P22" s="21"/>
      <c r="Q22" s="21"/>
      <c r="R22" s="21"/>
      <c r="S22" s="21"/>
      <c r="T22" s="21"/>
      <c r="U22" s="21"/>
      <c r="V22" s="21"/>
      <c r="W22" s="21"/>
      <c r="X22" s="21"/>
      <c r="Y22" s="21"/>
      <c r="Z22" s="21"/>
      <c r="AA22" s="21"/>
    </row>
    <row r="23" ht="15.75" customHeight="1">
      <c r="A23" s="21" t="b">
        <f>IFERROR(__xludf.DUMMYFUNCTION("OR(REGEXMATCH(B23, ""begin|end|group|text""), NOT(J23 = """"), REGEXMATCH(C23, ""_header""))"),FALSE)</f>
        <v>0</v>
      </c>
      <c r="B23" s="18" t="s">
        <v>144</v>
      </c>
      <c r="C23" s="18" t="s">
        <v>154</v>
      </c>
      <c r="D23" s="18" t="s">
        <v>155</v>
      </c>
      <c r="E23" s="18" t="s">
        <v>156</v>
      </c>
      <c r="H23" s="22" t="s">
        <v>79</v>
      </c>
      <c r="I23" s="22" t="s">
        <v>111</v>
      </c>
      <c r="J23" s="23" t="str">
        <f>IFERROR(__xludf.DUMMYFUNCTION("IF(OR(ISBLANK(C23), ISNA(FILTER(Choice_List_Roles[project_id], REGEXMATCH(Choice_List_Roles[Techniques], ""\b"" &amp; C23 &amp; ""\b"")))), """", JOIN("" or "", ARRAYFORMULA(""selected(${project_role_"" &amp; FILTER(Choice_List_Roles[project_id], REGEXMATCH(Choice_Li"&amp;"st_Roles[Techniques], ""\b"" &amp; C23 &amp; ""\b"")) &amp; ""}, '"" &amp; FILTER(Choice_List_Roles[name], REGEXMATCH(Choice_List_Roles[Techniques], C23)) &amp; ""')"")))"),"")</f>
        <v/>
      </c>
      <c r="M23" s="21"/>
      <c r="N23" s="21"/>
      <c r="O23" s="21"/>
      <c r="P23" s="21"/>
      <c r="Q23" s="21"/>
      <c r="R23" s="21"/>
      <c r="S23" s="21"/>
      <c r="T23" s="21"/>
      <c r="U23" s="21"/>
      <c r="V23" s="21"/>
      <c r="W23" s="21"/>
      <c r="X23" s="21"/>
      <c r="Y23" s="21"/>
      <c r="Z23" s="21"/>
      <c r="AA23" s="21"/>
    </row>
    <row r="24" ht="15.75" customHeight="1">
      <c r="A24" s="21" t="b">
        <f>IFERROR(__xludf.DUMMYFUNCTION("OR(REGEXMATCH(B24, ""begin|end|group|text""), NOT(J24 = """"), REGEXMATCH(C24, ""_header""))"),FALSE)</f>
        <v>0</v>
      </c>
      <c r="B24" s="18" t="s">
        <v>144</v>
      </c>
      <c r="C24" s="18" t="s">
        <v>157</v>
      </c>
      <c r="D24" s="18" t="s">
        <v>158</v>
      </c>
      <c r="E24" s="18" t="s">
        <v>159</v>
      </c>
      <c r="H24" s="22" t="s">
        <v>79</v>
      </c>
      <c r="I24" s="22" t="s">
        <v>111</v>
      </c>
      <c r="J24" s="23" t="str">
        <f>IFERROR(__xludf.DUMMYFUNCTION("IF(OR(ISBLANK(C24), ISNA(FILTER(Choice_List_Roles[project_id], REGEXMATCH(Choice_List_Roles[Techniques], ""\b"" &amp; C24 &amp; ""\b"")))), """", JOIN("" or "", ARRAYFORMULA(""selected(${project_role_"" &amp; FILTER(Choice_List_Roles[project_id], REGEXMATCH(Choice_Li"&amp;"st_Roles[Techniques], ""\b"" &amp; C24 &amp; ""\b"")) &amp; ""}, '"" &amp; FILTER(Choice_List_Roles[name], REGEXMATCH(Choice_List_Roles[Techniques], C24)) &amp; ""')"")))"),"")</f>
        <v/>
      </c>
      <c r="M24" s="21"/>
      <c r="N24" s="21"/>
      <c r="O24" s="21"/>
      <c r="P24" s="21"/>
      <c r="Q24" s="21"/>
      <c r="R24" s="21"/>
      <c r="S24" s="21"/>
      <c r="T24" s="21"/>
      <c r="U24" s="21"/>
      <c r="V24" s="21"/>
      <c r="W24" s="21"/>
      <c r="X24" s="21"/>
      <c r="Y24" s="21"/>
      <c r="Z24" s="21"/>
      <c r="AA24" s="21"/>
    </row>
    <row r="25" ht="15.75" customHeight="1">
      <c r="A25" s="21" t="b">
        <f>IFERROR(__xludf.DUMMYFUNCTION("OR(REGEXMATCH(B25, ""begin|end|group|text""), NOT(J25 = """"), REGEXMATCH(C25, ""_header""))"),FALSE)</f>
        <v>0</v>
      </c>
      <c r="B25" s="18" t="s">
        <v>144</v>
      </c>
      <c r="C25" s="18" t="s">
        <v>160</v>
      </c>
      <c r="D25" s="18" t="s">
        <v>161</v>
      </c>
      <c r="E25" s="18" t="s">
        <v>162</v>
      </c>
      <c r="H25" s="22" t="s">
        <v>79</v>
      </c>
      <c r="I25" s="22" t="s">
        <v>111</v>
      </c>
      <c r="J25" s="23" t="str">
        <f>IFERROR(__xludf.DUMMYFUNCTION("IF(OR(ISBLANK(C25), ISNA(FILTER(Choice_List_Roles[project_id], REGEXMATCH(Choice_List_Roles[Techniques], ""\b"" &amp; C25 &amp; ""\b"")))), """", JOIN("" or "", ARRAYFORMULA(""selected(${project_role_"" &amp; FILTER(Choice_List_Roles[project_id], REGEXMATCH(Choice_Li"&amp;"st_Roles[Techniques], ""\b"" &amp; C25 &amp; ""\b"")) &amp; ""}, '"" &amp; FILTER(Choice_List_Roles[name], REGEXMATCH(Choice_List_Roles[Techniques], C25)) &amp; ""')"")))"),"")</f>
        <v/>
      </c>
      <c r="M25" s="21"/>
      <c r="N25" s="21"/>
      <c r="O25" s="21"/>
      <c r="P25" s="21"/>
      <c r="Q25" s="21"/>
      <c r="R25" s="21"/>
      <c r="S25" s="21"/>
      <c r="T25" s="21"/>
      <c r="U25" s="21"/>
      <c r="V25" s="21"/>
      <c r="W25" s="21"/>
      <c r="X25" s="21"/>
      <c r="Y25" s="21"/>
      <c r="Z25" s="21"/>
      <c r="AA25" s="21"/>
    </row>
    <row r="26" ht="15.75" customHeight="1">
      <c r="A26" s="21" t="b">
        <f>IFERROR(__xludf.DUMMYFUNCTION("OR(REGEXMATCH(B26, ""begin|end|group|text""), NOT(J26 = """"), REGEXMATCH(C26, ""_header""))"),FALSE)</f>
        <v>0</v>
      </c>
      <c r="B26" s="18" t="s">
        <v>144</v>
      </c>
      <c r="C26" s="18" t="s">
        <v>163</v>
      </c>
      <c r="D26" s="18" t="s">
        <v>164</v>
      </c>
      <c r="E26" s="18" t="s">
        <v>165</v>
      </c>
      <c r="H26" s="22" t="s">
        <v>79</v>
      </c>
      <c r="I26" s="22" t="s">
        <v>111</v>
      </c>
      <c r="J26" s="23" t="str">
        <f>IFERROR(__xludf.DUMMYFUNCTION("IF(OR(ISBLANK(C26), ISNA(FILTER(Choice_List_Roles[project_id], REGEXMATCH(Choice_List_Roles[Techniques], ""\b"" &amp; C26 &amp; ""\b"")))), """", JOIN("" or "", ARRAYFORMULA(""selected(${project_role_"" &amp; FILTER(Choice_List_Roles[project_id], REGEXMATCH(Choice_Li"&amp;"st_Roles[Techniques], ""\b"" &amp; C26 &amp; ""\b"")) &amp; ""}, '"" &amp; FILTER(Choice_List_Roles[name], REGEXMATCH(Choice_List_Roles[Techniques], C26)) &amp; ""')"")))"),"")</f>
        <v/>
      </c>
      <c r="M26" s="21"/>
      <c r="N26" s="21"/>
      <c r="O26" s="21"/>
      <c r="P26" s="21"/>
      <c r="Q26" s="21"/>
      <c r="R26" s="21"/>
      <c r="S26" s="21"/>
      <c r="T26" s="21"/>
      <c r="U26" s="21"/>
      <c r="V26" s="21"/>
      <c r="W26" s="21"/>
      <c r="X26" s="21"/>
      <c r="Y26" s="21"/>
      <c r="Z26" s="21"/>
      <c r="AA26" s="21"/>
    </row>
    <row r="27" ht="15.75" customHeight="1">
      <c r="A27" s="21" t="b">
        <f>IFERROR(__xludf.DUMMYFUNCTION("OR(REGEXMATCH(B27, ""begin|end|group|text""), NOT(J27 = """"), REGEXMATCH(C27, ""_header""))"),FALSE)</f>
        <v>0</v>
      </c>
      <c r="B27" s="18" t="s">
        <v>144</v>
      </c>
      <c r="C27" s="18" t="s">
        <v>166</v>
      </c>
      <c r="D27" s="18" t="s">
        <v>167</v>
      </c>
      <c r="E27" s="18" t="s">
        <v>168</v>
      </c>
      <c r="H27" s="22" t="s">
        <v>79</v>
      </c>
      <c r="I27" s="22" t="s">
        <v>111</v>
      </c>
      <c r="J27" s="23" t="str">
        <f>IFERROR(__xludf.DUMMYFUNCTION("IF(OR(ISBLANK(C27), ISNA(FILTER(Choice_List_Roles[project_id], REGEXMATCH(Choice_List_Roles[Techniques], ""\b"" &amp; C27 &amp; ""\b"")))), """", JOIN("" or "", ARRAYFORMULA(""selected(${project_role_"" &amp; FILTER(Choice_List_Roles[project_id], REGEXMATCH(Choice_Li"&amp;"st_Roles[Techniques], ""\b"" &amp; C27 &amp; ""\b"")) &amp; ""}, '"" &amp; FILTER(Choice_List_Roles[name], REGEXMATCH(Choice_List_Roles[Techniques], C27)) &amp; ""')"")))"),"")</f>
        <v/>
      </c>
      <c r="M27" s="21"/>
      <c r="N27" s="21"/>
      <c r="O27" s="21"/>
      <c r="P27" s="21"/>
      <c r="Q27" s="21"/>
      <c r="R27" s="21"/>
      <c r="S27" s="21"/>
      <c r="T27" s="21"/>
      <c r="U27" s="21"/>
      <c r="V27" s="21"/>
      <c r="W27" s="21"/>
      <c r="X27" s="21"/>
      <c r="Y27" s="21"/>
      <c r="Z27" s="21"/>
      <c r="AA27" s="21"/>
    </row>
    <row r="28" ht="15.75" customHeight="1">
      <c r="A28" s="21" t="b">
        <f>IFERROR(__xludf.DUMMYFUNCTION("OR(REGEXMATCH(B28, ""begin|end|group|text""), NOT(J28 = """"), REGEXMATCH(C28, ""_header""))"),FALSE)</f>
        <v>0</v>
      </c>
      <c r="B28" s="18" t="s">
        <v>144</v>
      </c>
      <c r="C28" s="18" t="s">
        <v>169</v>
      </c>
      <c r="D28" s="18" t="s">
        <v>170</v>
      </c>
      <c r="E28" s="18" t="s">
        <v>171</v>
      </c>
      <c r="H28" s="22" t="s">
        <v>79</v>
      </c>
      <c r="I28" s="22" t="s">
        <v>111</v>
      </c>
      <c r="J28" s="23" t="str">
        <f>IFERROR(__xludf.DUMMYFUNCTION("IF(OR(ISBLANK(C28), ISNA(FILTER(Choice_List_Roles[project_id], REGEXMATCH(Choice_List_Roles[Techniques], ""\b"" &amp; C28 &amp; ""\b"")))), """", JOIN("" or "", ARRAYFORMULA(""selected(${project_role_"" &amp; FILTER(Choice_List_Roles[project_id], REGEXMATCH(Choice_Li"&amp;"st_Roles[Techniques], ""\b"" &amp; C28 &amp; ""\b"")) &amp; ""}, '"" &amp; FILTER(Choice_List_Roles[name], REGEXMATCH(Choice_List_Roles[Techniques], C28)) &amp; ""')"")))"),"")</f>
        <v/>
      </c>
      <c r="M28" s="21"/>
      <c r="N28" s="21"/>
      <c r="O28" s="21"/>
      <c r="P28" s="21"/>
      <c r="Q28" s="21"/>
      <c r="R28" s="21"/>
      <c r="S28" s="21"/>
      <c r="T28" s="21"/>
      <c r="U28" s="21"/>
      <c r="V28" s="21"/>
      <c r="W28" s="21"/>
      <c r="X28" s="21"/>
      <c r="Y28" s="21"/>
      <c r="Z28" s="21"/>
      <c r="AA28" s="21"/>
    </row>
    <row r="29" ht="15.75" customHeight="1">
      <c r="A29" s="21" t="b">
        <f>IFERROR(__xludf.DUMMYFUNCTION("OR(REGEXMATCH(B29, ""begin|end|group|text""), NOT(J29 = """"), REGEXMATCH(C29, ""_header""))"),FALSE)</f>
        <v>0</v>
      </c>
      <c r="B29" s="18" t="s">
        <v>144</v>
      </c>
      <c r="C29" s="18" t="s">
        <v>172</v>
      </c>
      <c r="D29" s="18" t="s">
        <v>173</v>
      </c>
      <c r="E29" s="18" t="s">
        <v>173</v>
      </c>
      <c r="H29" s="22" t="s">
        <v>79</v>
      </c>
      <c r="I29" s="22" t="s">
        <v>111</v>
      </c>
      <c r="J29" s="23" t="str">
        <f>IFERROR(__xludf.DUMMYFUNCTION("IF(OR(ISBLANK(C29), ISNA(FILTER(Choice_List_Roles[project_id], REGEXMATCH(Choice_List_Roles[Techniques], ""\b"" &amp; C29 &amp; ""\b"")))), """", JOIN("" or "", ARRAYFORMULA(""selected(${project_role_"" &amp; FILTER(Choice_List_Roles[project_id], REGEXMATCH(Choice_Li"&amp;"st_Roles[Techniques], ""\b"" &amp; C29 &amp; ""\b"")) &amp; ""}, '"" &amp; FILTER(Choice_List_Roles[name], REGEXMATCH(Choice_List_Roles[Techniques], C29)) &amp; ""')"")))"),"")</f>
        <v/>
      </c>
      <c r="M29" s="21"/>
      <c r="N29" s="21"/>
      <c r="O29" s="21"/>
      <c r="P29" s="21"/>
      <c r="Q29" s="21"/>
      <c r="R29" s="21"/>
      <c r="S29" s="21"/>
      <c r="T29" s="21"/>
      <c r="U29" s="21"/>
      <c r="V29" s="21"/>
      <c r="W29" s="21"/>
      <c r="X29" s="21"/>
      <c r="Y29" s="21"/>
      <c r="Z29" s="21"/>
      <c r="AA29" s="21"/>
    </row>
    <row r="30" ht="15.75" customHeight="1">
      <c r="A30" s="21" t="b">
        <f>IFERROR(__xludf.DUMMYFUNCTION("OR(REGEXMATCH(B30, ""begin|end|group|text""), NOT(J30 = """"), REGEXMATCH(C30, ""_header""))"),FALSE)</f>
        <v>0</v>
      </c>
      <c r="B30" s="18" t="s">
        <v>144</v>
      </c>
      <c r="C30" s="18" t="s">
        <v>174</v>
      </c>
      <c r="D30" s="18" t="s">
        <v>175</v>
      </c>
      <c r="E30" s="18" t="s">
        <v>175</v>
      </c>
      <c r="H30" s="22" t="s">
        <v>79</v>
      </c>
      <c r="I30" s="22" t="s">
        <v>111</v>
      </c>
      <c r="J30" s="23" t="str">
        <f>IFERROR(__xludf.DUMMYFUNCTION("IF(OR(ISBLANK(C30), ISNA(FILTER(Choice_List_Roles[project_id], REGEXMATCH(Choice_List_Roles[Techniques], ""\b"" &amp; C30 &amp; ""\b"")))), """", JOIN("" or "", ARRAYFORMULA(""selected(${project_role_"" &amp; FILTER(Choice_List_Roles[project_id], REGEXMATCH(Choice_Li"&amp;"st_Roles[Techniques], ""\b"" &amp; C30 &amp; ""\b"")) &amp; ""}, '"" &amp; FILTER(Choice_List_Roles[name], REGEXMATCH(Choice_List_Roles[Techniques], C30)) &amp; ""')"")))"),"")</f>
        <v/>
      </c>
      <c r="M30" s="21"/>
      <c r="N30" s="21"/>
      <c r="O30" s="21"/>
      <c r="P30" s="21"/>
      <c r="Q30" s="21"/>
      <c r="R30" s="21"/>
      <c r="S30" s="21"/>
      <c r="T30" s="21"/>
      <c r="U30" s="21"/>
      <c r="V30" s="21"/>
      <c r="W30" s="21"/>
      <c r="X30" s="21"/>
      <c r="Y30" s="21"/>
      <c r="Z30" s="21"/>
      <c r="AA30" s="21"/>
    </row>
    <row r="31" ht="15.75" customHeight="1">
      <c r="A31" s="21" t="b">
        <f>IFERROR(__xludf.DUMMYFUNCTION("OR(REGEXMATCH(B31, ""begin|end|group|text""), NOT(J31 = """"), REGEXMATCH(C31, ""_header""))"),FALSE)</f>
        <v>0</v>
      </c>
      <c r="B31" s="18" t="s">
        <v>144</v>
      </c>
      <c r="C31" s="18" t="s">
        <v>176</v>
      </c>
      <c r="D31" s="18" t="s">
        <v>177</v>
      </c>
      <c r="E31" s="18" t="s">
        <v>178</v>
      </c>
      <c r="H31" s="22" t="s">
        <v>79</v>
      </c>
      <c r="I31" s="22" t="s">
        <v>111</v>
      </c>
      <c r="J31" s="23" t="str">
        <f>IFERROR(__xludf.DUMMYFUNCTION("IF(OR(ISBLANK(C31), ISNA(FILTER(Choice_List_Roles[project_id], REGEXMATCH(Choice_List_Roles[Techniques], ""\b"" &amp; C31 &amp; ""\b"")))), """", JOIN("" or "", ARRAYFORMULA(""selected(${project_role_"" &amp; FILTER(Choice_List_Roles[project_id], REGEXMATCH(Choice_Li"&amp;"st_Roles[Techniques], ""\b"" &amp; C31 &amp; ""\b"")) &amp; ""}, '"" &amp; FILTER(Choice_List_Roles[name], REGEXMATCH(Choice_List_Roles[Techniques], C31)) &amp; ""')"")))"),"")</f>
        <v/>
      </c>
      <c r="M31" s="21"/>
      <c r="N31" s="21"/>
      <c r="O31" s="21"/>
      <c r="P31" s="21"/>
      <c r="Q31" s="21"/>
      <c r="R31" s="21"/>
      <c r="S31" s="21"/>
      <c r="T31" s="21"/>
      <c r="U31" s="21"/>
      <c r="V31" s="21"/>
      <c r="W31" s="21"/>
      <c r="X31" s="21"/>
      <c r="Y31" s="21"/>
      <c r="Z31" s="21"/>
      <c r="AA31" s="21"/>
    </row>
    <row r="32" ht="15.75" customHeight="1">
      <c r="A32" s="21" t="b">
        <f>IFERROR(__xludf.DUMMYFUNCTION("OR(REGEXMATCH(B32, ""begin|end|group|text""), NOT(J32 = """"), REGEXMATCH(C32, ""_header""))"),FALSE)</f>
        <v>0</v>
      </c>
      <c r="B32" s="18" t="s">
        <v>144</v>
      </c>
      <c r="C32" s="18" t="s">
        <v>179</v>
      </c>
      <c r="D32" s="18" t="s">
        <v>180</v>
      </c>
      <c r="E32" s="18" t="s">
        <v>181</v>
      </c>
      <c r="H32" s="22" t="s">
        <v>79</v>
      </c>
      <c r="I32" s="22" t="s">
        <v>111</v>
      </c>
      <c r="J32" s="23" t="str">
        <f>IFERROR(__xludf.DUMMYFUNCTION("IF(OR(ISBLANK(C32), ISNA(FILTER(Choice_List_Roles[project_id], REGEXMATCH(Choice_List_Roles[Techniques], ""\b"" &amp; C32 &amp; ""\b"")))), """", JOIN("" or "", ARRAYFORMULA(""selected(${project_role_"" &amp; FILTER(Choice_List_Roles[project_id], REGEXMATCH(Choice_Li"&amp;"st_Roles[Techniques], ""\b"" &amp; C32 &amp; ""\b"")) &amp; ""}, '"" &amp; FILTER(Choice_List_Roles[name], REGEXMATCH(Choice_List_Roles[Techniques], C32)) &amp; ""')"")))"),"")</f>
        <v/>
      </c>
      <c r="M32" s="21"/>
      <c r="N32" s="21"/>
      <c r="O32" s="21"/>
      <c r="P32" s="21"/>
      <c r="Q32" s="21"/>
      <c r="R32" s="21"/>
      <c r="S32" s="21"/>
      <c r="T32" s="21"/>
      <c r="U32" s="21"/>
      <c r="V32" s="21"/>
      <c r="W32" s="21"/>
      <c r="X32" s="21"/>
      <c r="Y32" s="21"/>
      <c r="Z32" s="21"/>
      <c r="AA32" s="21"/>
    </row>
    <row r="33" ht="15.75" customHeight="1">
      <c r="A33" s="21" t="b">
        <f>IFERROR(__xludf.DUMMYFUNCTION("OR(REGEXMATCH(B33, ""begin|end|group|text""), NOT(J33 = """"), REGEXMATCH(C33, ""_header""))"),FALSE)</f>
        <v>0</v>
      </c>
      <c r="B33" s="18" t="s">
        <v>144</v>
      </c>
      <c r="C33" s="18" t="s">
        <v>182</v>
      </c>
      <c r="D33" s="18" t="s">
        <v>183</v>
      </c>
      <c r="E33" s="18" t="s">
        <v>184</v>
      </c>
      <c r="H33" s="22" t="s">
        <v>79</v>
      </c>
      <c r="I33" s="22" t="s">
        <v>111</v>
      </c>
      <c r="J33" s="23" t="str">
        <f>IFERROR(__xludf.DUMMYFUNCTION("IF(OR(ISBLANK(C33), ISNA(FILTER(Choice_List_Roles[project_id], REGEXMATCH(Choice_List_Roles[Techniques], ""\b"" &amp; C33 &amp; ""\b"")))), """", JOIN("" or "", ARRAYFORMULA(""selected(${project_role_"" &amp; FILTER(Choice_List_Roles[project_id], REGEXMATCH(Choice_Li"&amp;"st_Roles[Techniques], ""\b"" &amp; C33 &amp; ""\b"")) &amp; ""}, '"" &amp; FILTER(Choice_List_Roles[name], REGEXMATCH(Choice_List_Roles[Techniques], C33)) &amp; ""')"")))"),"")</f>
        <v/>
      </c>
      <c r="M33" s="21"/>
      <c r="N33" s="21"/>
      <c r="O33" s="21"/>
      <c r="P33" s="21"/>
      <c r="Q33" s="21"/>
      <c r="R33" s="21"/>
      <c r="S33" s="21"/>
      <c r="T33" s="21"/>
      <c r="U33" s="21"/>
      <c r="V33" s="21"/>
      <c r="W33" s="21"/>
      <c r="X33" s="21"/>
      <c r="Y33" s="21"/>
      <c r="Z33" s="21"/>
      <c r="AA33" s="21"/>
    </row>
    <row r="34" ht="15.75" customHeight="1">
      <c r="A34" s="21" t="b">
        <f>IFERROR(__xludf.DUMMYFUNCTION("OR(REGEXMATCH(B34, ""begin|end|group|text""), NOT(J34 = """"), REGEXMATCH(C34, ""_header""))"),TRUE)</f>
        <v>1</v>
      </c>
      <c r="B34" s="18" t="s">
        <v>144</v>
      </c>
      <c r="C34" s="8" t="s">
        <v>185</v>
      </c>
      <c r="D34" s="8" t="s">
        <v>186</v>
      </c>
      <c r="E34" s="8" t="s">
        <v>187</v>
      </c>
      <c r="H34" s="22" t="s">
        <v>79</v>
      </c>
      <c r="I34" s="22" t="s">
        <v>111</v>
      </c>
      <c r="J34" s="23" t="str">
        <f>IFERROR(__xludf.DUMMYFUNCTION("IF(OR(ISBLANK(C34), ISNA(FILTER(Choice_List_Roles[project_id], REGEXMATCH(Choice_List_Roles[Techniques], ""\b"" &amp; C34 &amp; ""\b"")))), """", JOIN("" or "", ARRAYFORMULA(""selected(${project_role_"" &amp; FILTER(Choice_List_Roles[project_id], REGEXMATCH(Choice_Li"&amp;"st_Roles[Techniques], ""\b"" &amp; C34 &amp; ""\b"")) &amp; ""}, '"" &amp; FILTER(Choice_List_Roles[name], REGEXMATCH(Choice_List_Roles[Techniques], C34)) &amp; ""')"")))"),"selected(${project_role_2026-02-DTC}, 'role-surveydesign-datacollection')")</f>
        <v>selected(${project_role_2026-02-DTC}, 'role-surveydesign-datacollection')</v>
      </c>
      <c r="M34" s="21"/>
      <c r="N34" s="21"/>
      <c r="O34" s="21"/>
      <c r="P34" s="21"/>
      <c r="Q34" s="21"/>
      <c r="R34" s="21"/>
      <c r="S34" s="21"/>
      <c r="T34" s="21"/>
      <c r="U34" s="21"/>
      <c r="V34" s="21"/>
      <c r="W34" s="21"/>
      <c r="X34" s="21"/>
      <c r="Y34" s="21"/>
      <c r="Z34" s="21"/>
      <c r="AA34" s="21"/>
    </row>
    <row r="35" ht="15.75" customHeight="1">
      <c r="A35" s="21" t="b">
        <f>IFERROR(__xludf.DUMMYFUNCTION("OR(REGEXMATCH(B35, ""begin|end|group|text""), NOT(J35 = """"), REGEXMATCH(C35, ""_header""))"),FALSE)</f>
        <v>0</v>
      </c>
      <c r="B35" s="18" t="s">
        <v>144</v>
      </c>
      <c r="C35" s="18" t="s">
        <v>188</v>
      </c>
      <c r="D35" s="18" t="s">
        <v>189</v>
      </c>
      <c r="E35" s="18" t="s">
        <v>190</v>
      </c>
      <c r="H35" s="22" t="s">
        <v>79</v>
      </c>
      <c r="I35" s="22" t="s">
        <v>111</v>
      </c>
      <c r="J35" s="23" t="str">
        <f>IFERROR(__xludf.DUMMYFUNCTION("IF(OR(ISBLANK(C35), ISNA(FILTER(Choice_List_Roles[project_id], REGEXMATCH(Choice_List_Roles[Topics], ""\b"" &amp; C35 &amp; ""\b"")))), """", JOIN("" or "", ARRAYFORMULA(""selected(${project_role_"" &amp; FILTER(Choice_List_Roles[project_id], REGEXMATCH(Choice_List_R"&amp;"oles[Topics], ""\b"" &amp; C35 &amp; ""\b"")) &amp; ""}, '"" &amp; FILTER(Choice_List_Roles[name], REGEXMATCH(Choice_List_Roles[Topics], C35)) &amp; ""')"")))"),"")</f>
        <v/>
      </c>
      <c r="M35" s="21"/>
      <c r="N35" s="21"/>
      <c r="O35" s="21"/>
      <c r="P35" s="21"/>
      <c r="Q35" s="21"/>
      <c r="R35" s="21"/>
      <c r="S35" s="21"/>
      <c r="T35" s="21"/>
      <c r="U35" s="21"/>
      <c r="V35" s="21"/>
      <c r="W35" s="21"/>
      <c r="X35" s="21"/>
      <c r="Y35" s="21"/>
      <c r="Z35" s="21"/>
      <c r="AA35" s="21"/>
    </row>
    <row r="36" ht="15.75" customHeight="1">
      <c r="A36" s="21" t="b">
        <f>IFERROR(__xludf.DUMMYFUNCTION("OR(REGEXMATCH(B36, ""begin|end|group|text""), NOT(J36 = """"), REGEXMATCH(C36, ""_header""))"),TRUE)</f>
        <v>1</v>
      </c>
      <c r="B36" s="18" t="s">
        <v>144</v>
      </c>
      <c r="C36" s="18" t="s">
        <v>191</v>
      </c>
      <c r="D36" s="18" t="s">
        <v>192</v>
      </c>
      <c r="E36" s="18" t="s">
        <v>193</v>
      </c>
      <c r="H36" s="22" t="s">
        <v>79</v>
      </c>
      <c r="I36" s="22" t="s">
        <v>111</v>
      </c>
      <c r="J36" s="23" t="str">
        <f>IFERROR(__xludf.DUMMYFUNCTION("IF(OR(ISBLANK(C36), ISNA(FILTER(Choice_List_Roles[project_id], REGEXMATCH(Choice_List_Roles[Techniques], ""\b"" &amp; C36 &amp; ""\b"")))), """", JOIN("" or "", ARRAYFORMULA(""selected(${project_role_"" &amp; FILTER(Choice_List_Roles[project_id], REGEXMATCH(Choice_Li"&amp;"st_Roles[Techniques], ""\b"" &amp; C36 &amp; ""\b"")) &amp; ""}, '"" &amp; FILTER(Choice_List_Roles[name], REGEXMATCH(Choice_List_Roles[Techniques], C36)) &amp; ""')"")))"),"selected(${project_role_2026-02-DTC}, 'role-surveydesign-datacollection')")</f>
        <v>selected(${project_role_2026-02-DTC}, 'role-surveydesign-datacollection')</v>
      </c>
      <c r="M36" s="21"/>
      <c r="N36" s="21"/>
      <c r="O36" s="21"/>
      <c r="P36" s="21"/>
      <c r="Q36" s="21"/>
      <c r="R36" s="21"/>
      <c r="S36" s="21"/>
      <c r="T36" s="21"/>
      <c r="U36" s="21"/>
      <c r="V36" s="21"/>
      <c r="W36" s="21"/>
      <c r="X36" s="21"/>
      <c r="Y36" s="21"/>
      <c r="Z36" s="21"/>
      <c r="AA36" s="21"/>
    </row>
    <row r="37" ht="15.75" customHeight="1">
      <c r="A37" s="21" t="b">
        <f>IFERROR(__xludf.DUMMYFUNCTION("OR(REGEXMATCH(B37, ""begin|end|group|text""), NOT(J37 = """"), REGEXMATCH(C37, ""_header""))"),TRUE)</f>
        <v>1</v>
      </c>
      <c r="B37" s="18" t="s">
        <v>144</v>
      </c>
      <c r="C37" s="8" t="s">
        <v>194</v>
      </c>
      <c r="D37" s="8" t="s">
        <v>195</v>
      </c>
      <c r="E37" s="8" t="s">
        <v>196</v>
      </c>
      <c r="H37" s="22" t="s">
        <v>79</v>
      </c>
      <c r="I37" s="22" t="s">
        <v>111</v>
      </c>
      <c r="J37" s="23" t="str">
        <f>IFERROR(__xludf.DUMMYFUNCTION("IF(OR(ISBLANK(C37), ISNA(FILTER(Choice_List_Roles[project_id], REGEXMATCH(Choice_List_Roles[Techniques], ""\b"" &amp; C37 &amp; ""\b"")))), """", JOIN("" or "", ARRAYFORMULA(""selected(${project_role_"" &amp; FILTER(Choice_List_Roles[project_id], REGEXMATCH(Choice_Li"&amp;"st_Roles[Techniques], ""\b"" &amp; C37 &amp; ""\b"")) &amp; ""}, '"" &amp; FILTER(Choice_List_Roles[name], REGEXMATCH(Choice_List_Roles[Techniques], C37)) &amp; ""')"")))"),"selected(${project_role_2026-02-DTC}, 'role-surveydesign-datacollection')")</f>
        <v>selected(${project_role_2026-02-DTC}, 'role-surveydesign-datacollection')</v>
      </c>
      <c r="M37" s="21"/>
      <c r="N37" s="21"/>
      <c r="O37" s="21"/>
      <c r="P37" s="21"/>
      <c r="Q37" s="21"/>
      <c r="R37" s="21"/>
      <c r="S37" s="21"/>
      <c r="T37" s="21"/>
      <c r="U37" s="21"/>
      <c r="V37" s="21"/>
      <c r="W37" s="21"/>
      <c r="X37" s="21"/>
      <c r="Y37" s="21"/>
      <c r="Z37" s="21"/>
      <c r="AA37" s="21"/>
    </row>
    <row r="38" ht="15.75" customHeight="1">
      <c r="A38" s="21" t="b">
        <f>IFERROR(__xludf.DUMMYFUNCTION("OR(REGEXMATCH(B38, ""begin|end|group|text""), NOT(J38 = """"), REGEXMATCH(C38, ""_header""))"),FALSE)</f>
        <v>0</v>
      </c>
      <c r="B38" s="18" t="s">
        <v>144</v>
      </c>
      <c r="C38" s="8" t="s">
        <v>197</v>
      </c>
      <c r="D38" s="8" t="s">
        <v>198</v>
      </c>
      <c r="E38" s="8" t="s">
        <v>198</v>
      </c>
      <c r="H38" s="22" t="s">
        <v>79</v>
      </c>
      <c r="I38" s="22" t="s">
        <v>111</v>
      </c>
      <c r="J38" s="23" t="str">
        <f>IFERROR(__xludf.DUMMYFUNCTION("IF(OR(ISBLANK(C38), ISNA(FILTER(Choice_List_Roles[project_id], REGEXMATCH(Choice_List_Roles[Techniques], ""\b"" &amp; C38 &amp; ""\b"")))), """", JOIN("" or "", ARRAYFORMULA(""selected(${project_role_"" &amp; FILTER(Choice_List_Roles[project_id], REGEXMATCH(Choice_Li"&amp;"st_Roles[Techniques], ""\b"" &amp; C38 &amp; ""\b"")) &amp; ""}, '"" &amp; FILTER(Choice_List_Roles[name], REGEXMATCH(Choice_List_Roles[Techniques], C38)) &amp; ""')"")))"),"")</f>
        <v/>
      </c>
      <c r="M38" s="21"/>
      <c r="N38" s="21"/>
      <c r="O38" s="21"/>
      <c r="P38" s="21"/>
      <c r="Q38" s="21"/>
      <c r="R38" s="21"/>
      <c r="S38" s="21"/>
      <c r="T38" s="21"/>
      <c r="U38" s="21"/>
      <c r="V38" s="21"/>
      <c r="W38" s="21"/>
      <c r="X38" s="21"/>
      <c r="Y38" s="21"/>
      <c r="Z38" s="21"/>
      <c r="AA38" s="21"/>
    </row>
    <row r="39" ht="15.75" customHeight="1">
      <c r="A39" s="21" t="b">
        <f>IFERROR(__xludf.DUMMYFUNCTION("OR(REGEXMATCH(B39, ""begin|end|group|text""), NOT(J39 = """"), REGEXMATCH(C39, ""_header""))"),FALSE)</f>
        <v>0</v>
      </c>
      <c r="B39" s="18" t="s">
        <v>144</v>
      </c>
      <c r="C39" s="8" t="s">
        <v>199</v>
      </c>
      <c r="D39" s="8" t="s">
        <v>200</v>
      </c>
      <c r="E39" s="8" t="s">
        <v>201</v>
      </c>
      <c r="H39" s="22" t="s">
        <v>79</v>
      </c>
      <c r="I39" s="22" t="s">
        <v>111</v>
      </c>
      <c r="J39" s="23" t="str">
        <f>IFERROR(__xludf.DUMMYFUNCTION("IF(OR(ISBLANK(C39), ISNA(FILTER(Choice_List_Roles[project_id], REGEXMATCH(Choice_List_Roles[Techniques], ""\b"" &amp; C39 &amp; ""\b"")))), """", JOIN("" or "", ARRAYFORMULA(""selected(${project_role_"" &amp; FILTER(Choice_List_Roles[project_id], REGEXMATCH(Choice_Li"&amp;"st_Roles[Techniques], ""\b"" &amp; C39 &amp; ""\b"")) &amp; ""}, '"" &amp; FILTER(Choice_List_Roles[name], REGEXMATCH(Choice_List_Roles[Techniques], C39)) &amp; ""')"")))"),"")</f>
        <v/>
      </c>
      <c r="M39" s="21"/>
      <c r="N39" s="21"/>
      <c r="O39" s="21"/>
      <c r="P39" s="21"/>
      <c r="Q39" s="21"/>
      <c r="R39" s="21"/>
      <c r="S39" s="21"/>
      <c r="T39" s="21"/>
      <c r="U39" s="21"/>
      <c r="V39" s="21"/>
      <c r="W39" s="21"/>
      <c r="X39" s="21"/>
      <c r="Y39" s="21"/>
      <c r="Z39" s="21"/>
      <c r="AA39" s="21"/>
    </row>
    <row r="40" ht="15.75" customHeight="1">
      <c r="A40" s="21" t="b">
        <f>IFERROR(__xludf.DUMMYFUNCTION("OR(REGEXMATCH(B40, ""begin|end|group|text""), NOT(J40 = """"), REGEXMATCH(C40, ""_header""))"),TRUE)</f>
        <v>1</v>
      </c>
      <c r="B40" s="18" t="s">
        <v>140</v>
      </c>
      <c r="H40" s="22"/>
      <c r="I40" s="22"/>
      <c r="J40" s="23" t="str">
        <f>IFERROR(__xludf.DUMMYFUNCTION("IF(OR(ISBLANK(C40), ISNA(FILTER(Choice_List_Roles[project_id], REGEXMATCH(Choice_List_Roles[Techniques], ""\b"" &amp; C40 &amp; ""\b"")))), """", JOIN("" or "", ARRAYFORMULA(""selected(${project_role_"" &amp; FILTER(Choice_List_Roles[project_id], REGEXMATCH(Choice_Li"&amp;"st_Roles[Techniques], ""\b"" &amp; C40 &amp; ""\b"")) &amp; ""}, '"" &amp; FILTER(Choice_List_Roles[name], REGEXMATCH(Choice_List_Roles[Techniques], C40)) &amp; ""')"")))"),"")</f>
        <v/>
      </c>
      <c r="M40" s="21"/>
      <c r="N40" s="21"/>
      <c r="O40" s="21"/>
      <c r="P40" s="21"/>
      <c r="Q40" s="21"/>
      <c r="R40" s="21"/>
      <c r="S40" s="21"/>
      <c r="T40" s="21"/>
      <c r="U40" s="21"/>
      <c r="V40" s="21"/>
      <c r="W40" s="21"/>
      <c r="X40" s="21"/>
      <c r="Y40" s="21"/>
      <c r="Z40" s="21"/>
      <c r="AA40" s="21"/>
    </row>
    <row r="41" ht="15.75" customHeight="1">
      <c r="A41" s="21" t="b">
        <f>IFERROR(__xludf.DUMMYFUNCTION("OR(REGEXMATCH(B41, ""begin|end|group|text""), NOT(J41 = """"), REGEXMATCH(C41, ""_header""))"),TRUE)</f>
        <v>1</v>
      </c>
      <c r="B41" s="18" t="s">
        <v>96</v>
      </c>
      <c r="C41" s="18" t="s">
        <v>202</v>
      </c>
      <c r="D41" s="18" t="s">
        <v>203</v>
      </c>
      <c r="E41" s="8" t="s">
        <v>17</v>
      </c>
      <c r="H41" s="22" t="s">
        <v>100</v>
      </c>
      <c r="I41" s="22" t="s">
        <v>143</v>
      </c>
      <c r="J41" s="23" t="str">
        <f>IFERROR(__xludf.DUMMYFUNCTION("IF(OR(ISBLANK(C41), ISNA(FILTER(Choice_List_Roles[project_id], REGEXMATCH(Choice_List_Roles[Techniques], ""\b"" &amp; C41 &amp; ""\b"")))), """", JOIN("" or "", ARRAYFORMULA(""selected(${project_role_"" &amp; FILTER(Choice_List_Roles[project_id], REGEXMATCH(Choice_Li"&amp;"st_Roles[Techniques], ""\b"" &amp; C41 &amp; ""\b"")) &amp; ""}, '"" &amp; FILTER(Choice_List_Roles[name], REGEXMATCH(Choice_List_Roles[Techniques], C41)) &amp; ""')"")))"),"")</f>
        <v/>
      </c>
      <c r="M41" s="21"/>
      <c r="N41" s="21"/>
      <c r="O41" s="21"/>
      <c r="P41" s="21"/>
      <c r="Q41" s="21"/>
      <c r="R41" s="21"/>
      <c r="S41" s="21"/>
      <c r="T41" s="21"/>
      <c r="U41" s="21"/>
      <c r="V41" s="21"/>
      <c r="W41" s="21"/>
      <c r="X41" s="21"/>
      <c r="Y41" s="21"/>
      <c r="Z41" s="21"/>
      <c r="AA41" s="21"/>
    </row>
    <row r="42" ht="15.75" customHeight="1">
      <c r="A42" s="21" t="b">
        <f>IFERROR(__xludf.DUMMYFUNCTION("OR(REGEXMATCH(B42, ""begin|end|group|text""), NOT(J42 = """"), REGEXMATCH(C42, ""_header""))"),TRUE)</f>
        <v>1</v>
      </c>
      <c r="B42" s="18" t="s">
        <v>204</v>
      </c>
      <c r="C42" s="18" t="s">
        <v>205</v>
      </c>
      <c r="D42" s="18" t="s">
        <v>206</v>
      </c>
      <c r="E42" s="18" t="s">
        <v>207</v>
      </c>
      <c r="F42" s="18" t="s">
        <v>106</v>
      </c>
      <c r="G42" s="18" t="s">
        <v>107</v>
      </c>
      <c r="H42" s="22" t="s">
        <v>100</v>
      </c>
      <c r="I42" s="22" t="s">
        <v>108</v>
      </c>
      <c r="J42" s="23" t="str">
        <f>IFERROR(__xludf.DUMMYFUNCTION("IF(OR(ISBLANK(C42), ISNA(FILTER(Choice_List_Roles[project_id], REGEXMATCH(Choice_List_Roles[Techniques], ""\b"" &amp; C42 &amp; ""\b"")))), """", JOIN("" or "", ARRAYFORMULA(""selected(${project_role_"" &amp; FILTER(Choice_List_Roles[project_id], REGEXMATCH(Choice_Li"&amp;"st_Roles[Techniques], ""\b"" &amp; C42 &amp; ""\b"")) &amp; ""}, '"" &amp; FILTER(Choice_List_Roles[name], REGEXMATCH(Choice_List_Roles[Techniques], C42)) &amp; ""')"")))"),"")</f>
        <v/>
      </c>
      <c r="M42" s="21"/>
      <c r="N42" s="21"/>
      <c r="O42" s="21"/>
      <c r="P42" s="21"/>
      <c r="Q42" s="21"/>
      <c r="R42" s="21"/>
      <c r="S42" s="21"/>
      <c r="T42" s="21"/>
      <c r="U42" s="21"/>
      <c r="V42" s="21"/>
      <c r="W42" s="21"/>
      <c r="X42" s="21"/>
      <c r="Y42" s="21"/>
      <c r="Z42" s="21"/>
      <c r="AA42" s="21"/>
    </row>
    <row r="43" ht="15.75" customHeight="1">
      <c r="A43" s="21" t="b">
        <f>IFERROR(__xludf.DUMMYFUNCTION("OR(REGEXMATCH(B43, ""begin|end|group|text""), NOT(J43 = """"), REGEXMATCH(C43, ""_header""))"),TRUE)</f>
        <v>1</v>
      </c>
      <c r="B43" s="18" t="s">
        <v>204</v>
      </c>
      <c r="C43" s="8" t="s">
        <v>208</v>
      </c>
      <c r="D43" s="8" t="s">
        <v>209</v>
      </c>
      <c r="E43" s="8" t="s">
        <v>210</v>
      </c>
      <c r="H43" s="22" t="s">
        <v>79</v>
      </c>
      <c r="I43" s="22" t="s">
        <v>111</v>
      </c>
      <c r="J43" s="23" t="str">
        <f>IFERROR(__xludf.DUMMYFUNCTION("IF(OR(ISBLANK(C43), ISNA(FILTER(Choice_List_Roles[project_id], REGEXMATCH(Choice_List_Roles[Topics], ""\b"" &amp; C43 &amp; ""\b"")))), """", JOIN("" or "", ARRAYFORMULA(""selected(${project_role_"" &amp; FILTER(Choice_List_Roles[project_id], REGEXMATCH(Choice_List_R"&amp;"oles[Topics], ""\b"" &amp; C43 &amp; ""\b"")) &amp; ""}, '"" &amp; FILTER(Choice_List_Roles[name], REGEXMATCH(Choice_List_Roles[Topics], C43)) &amp; ""')"")))"),"selected(${project_role_2026-02-DTC}, 'role-surveydesign-datacollection')")</f>
        <v>selected(${project_role_2026-02-DTC}, 'role-surveydesign-datacollection')</v>
      </c>
      <c r="M43" s="21"/>
      <c r="N43" s="21"/>
      <c r="O43" s="21"/>
      <c r="P43" s="21"/>
      <c r="Q43" s="21"/>
      <c r="R43" s="21"/>
      <c r="S43" s="21"/>
      <c r="T43" s="21"/>
      <c r="U43" s="21"/>
      <c r="V43" s="21"/>
      <c r="W43" s="21"/>
      <c r="X43" s="21"/>
      <c r="Y43" s="21"/>
      <c r="Z43" s="21"/>
      <c r="AA43" s="21"/>
    </row>
    <row r="44" ht="15.75" customHeight="1">
      <c r="A44" s="21" t="b">
        <f>IFERROR(__xludf.DUMMYFUNCTION("OR(REGEXMATCH(B44, ""begin|end|group|text""), NOT(J44 = """"), REGEXMATCH(C44, ""_header""))"),TRUE)</f>
        <v>1</v>
      </c>
      <c r="B44" s="18" t="s">
        <v>204</v>
      </c>
      <c r="C44" s="18" t="s">
        <v>211</v>
      </c>
      <c r="D44" s="18" t="s">
        <v>212</v>
      </c>
      <c r="E44" s="18" t="s">
        <v>212</v>
      </c>
      <c r="H44" s="22" t="s">
        <v>79</v>
      </c>
      <c r="I44" s="22" t="s">
        <v>111</v>
      </c>
      <c r="J44" s="23" t="str">
        <f>IFERROR(__xludf.DUMMYFUNCTION("IF(OR(ISBLANK(C44), ISNA(FILTER(Choice_List_Roles[project_id], REGEXMATCH(Choice_List_Roles[Topics], ""\b"" &amp; C44 &amp; ""\b"")))), """", JOIN("" or "", ARRAYFORMULA(""selected(${project_role_"" &amp; FILTER(Choice_List_Roles[project_id], REGEXMATCH(Choice_List_R"&amp;"oles[Topics], ""\b"" &amp; C44 &amp; ""\b"")) &amp; ""}, '"" &amp; FILTER(Choice_List_Roles[name], REGEXMATCH(Choice_List_Roles[Topics], C44)) &amp; ""')"")))"),"selected(${project_role_2026-02-DTC}, 'role-surveydesign-datacollection')")</f>
        <v>selected(${project_role_2026-02-DTC}, 'role-surveydesign-datacollection')</v>
      </c>
      <c r="M44" s="21"/>
      <c r="N44" s="21"/>
      <c r="O44" s="21"/>
      <c r="P44" s="21"/>
      <c r="Q44" s="21"/>
      <c r="R44" s="21"/>
      <c r="S44" s="21"/>
      <c r="T44" s="21"/>
      <c r="U44" s="21"/>
      <c r="V44" s="21"/>
      <c r="W44" s="21"/>
      <c r="X44" s="21"/>
      <c r="Y44" s="21"/>
      <c r="Z44" s="21"/>
      <c r="AA44" s="21"/>
    </row>
    <row r="45" ht="15.75" customHeight="1">
      <c r="A45" s="21" t="b">
        <f>IFERROR(__xludf.DUMMYFUNCTION("OR(REGEXMATCH(B45, ""begin|end|group|text""), NOT(J45 = """"), REGEXMATCH(C45, ""_header""))"),TRUE)</f>
        <v>1</v>
      </c>
      <c r="B45" s="18" t="s">
        <v>204</v>
      </c>
      <c r="C45" s="8" t="s">
        <v>213</v>
      </c>
      <c r="D45" s="8" t="s">
        <v>214</v>
      </c>
      <c r="E45" s="8" t="s">
        <v>215</v>
      </c>
      <c r="H45" s="22" t="s">
        <v>79</v>
      </c>
      <c r="I45" s="22" t="s">
        <v>111</v>
      </c>
      <c r="J45" s="23" t="str">
        <f>IFERROR(__xludf.DUMMYFUNCTION("IF(OR(ISBLANK(C45), ISNA(FILTER(Choice_List_Roles[project_id], REGEXMATCH(Choice_List_Roles[Topics], ""\b"" &amp; C45 &amp; ""\b"")))), """", JOIN("" or "", ARRAYFORMULA(""selected(${project_role_"" &amp; FILTER(Choice_List_Roles[project_id], REGEXMATCH(Choice_List_R"&amp;"oles[Topics], ""\b"" &amp; C45 &amp; ""\b"")) &amp; ""}, '"" &amp; FILTER(Choice_List_Roles[name], REGEXMATCH(Choice_List_Roles[Topics], C45)) &amp; ""')"")))"),"selected(${project_role_2026-02-DTC}, 'role-surveydesign-datacollection')")</f>
        <v>selected(${project_role_2026-02-DTC}, 'role-surveydesign-datacollection')</v>
      </c>
      <c r="M45" s="21"/>
      <c r="N45" s="21"/>
      <c r="O45" s="21"/>
      <c r="P45" s="21"/>
      <c r="Q45" s="21"/>
      <c r="R45" s="21"/>
      <c r="S45" s="21"/>
      <c r="T45" s="21"/>
      <c r="U45" s="21"/>
      <c r="V45" s="21"/>
      <c r="W45" s="21"/>
      <c r="X45" s="21"/>
      <c r="Y45" s="21"/>
      <c r="Z45" s="21"/>
      <c r="AA45" s="21"/>
    </row>
    <row r="46" ht="15.75" customHeight="1">
      <c r="A46" s="21" t="b">
        <f>IFERROR(__xludf.DUMMYFUNCTION("OR(REGEXMATCH(B46, ""begin|end|group|text""), NOT(J46 = """"), REGEXMATCH(C46, ""_header""))"),TRUE)</f>
        <v>1</v>
      </c>
      <c r="B46" s="18" t="s">
        <v>204</v>
      </c>
      <c r="C46" s="18" t="s">
        <v>216</v>
      </c>
      <c r="D46" s="18" t="s">
        <v>217</v>
      </c>
      <c r="E46" s="18" t="s">
        <v>218</v>
      </c>
      <c r="H46" s="22" t="s">
        <v>79</v>
      </c>
      <c r="I46" s="22" t="s">
        <v>111</v>
      </c>
      <c r="J46" s="23" t="str">
        <f>IFERROR(__xludf.DUMMYFUNCTION("IF(OR(ISBLANK(C46), ISNA(FILTER(Choice_List_Roles[project_id], REGEXMATCH(Choice_List_Roles[Topics], ""\b"" &amp; C46 &amp; ""\b"")))), """", JOIN("" or "", ARRAYFORMULA(""selected(${project_role_"" &amp; FILTER(Choice_List_Roles[project_id], REGEXMATCH(Choice_List_R"&amp;"oles[Topics], ""\b"" &amp; C46 &amp; ""\b"")) &amp; ""}, '"" &amp; FILTER(Choice_List_Roles[name], REGEXMATCH(Choice_List_Roles[Topics], C46)) &amp; ""')"")))"),"selected(${project_role_2026-02-DTC}, 'role-surveydesign-datacollection')")</f>
        <v>selected(${project_role_2026-02-DTC}, 'role-surveydesign-datacollection')</v>
      </c>
      <c r="M46" s="21"/>
      <c r="N46" s="21"/>
      <c r="O46" s="21"/>
      <c r="P46" s="21"/>
      <c r="Q46" s="21"/>
      <c r="R46" s="21"/>
      <c r="S46" s="21"/>
      <c r="T46" s="21"/>
      <c r="U46" s="21"/>
      <c r="V46" s="21"/>
      <c r="W46" s="21"/>
      <c r="X46" s="21"/>
      <c r="Y46" s="21"/>
      <c r="Z46" s="21"/>
      <c r="AA46" s="21"/>
    </row>
    <row r="47" ht="15.75" customHeight="1">
      <c r="A47" s="21" t="b">
        <f>IFERROR(__xludf.DUMMYFUNCTION("OR(REGEXMATCH(B47, ""begin|end|group|text""), NOT(J47 = """"), REGEXMATCH(C47, ""_header""))"),FALSE)</f>
        <v>0</v>
      </c>
      <c r="B47" s="18" t="s">
        <v>204</v>
      </c>
      <c r="C47" s="18" t="s">
        <v>219</v>
      </c>
      <c r="D47" s="18" t="s">
        <v>220</v>
      </c>
      <c r="E47" s="18" t="s">
        <v>221</v>
      </c>
      <c r="H47" s="22" t="s">
        <v>79</v>
      </c>
      <c r="I47" s="22" t="s">
        <v>111</v>
      </c>
      <c r="J47" s="23" t="str">
        <f>IFERROR(__xludf.DUMMYFUNCTION("IF(OR(ISBLANK(C47), ISNA(FILTER(Choice_List_Roles[project_id], REGEXMATCH(Choice_List_Roles[Topics], ""\b"" &amp; C47 &amp; ""\b"")))), """", JOIN("" or "", ARRAYFORMULA(""selected(${project_role_"" &amp; FILTER(Choice_List_Roles[project_id], REGEXMATCH(Choice_List_R"&amp;"oles[Topics], ""\b"" &amp; C47 &amp; ""\b"")) &amp; ""}, '"" &amp; FILTER(Choice_List_Roles[name], REGEXMATCH(Choice_List_Roles[Topics], C47)) &amp; ""')"")))"),"")</f>
        <v/>
      </c>
      <c r="M47" s="21"/>
      <c r="N47" s="21"/>
      <c r="O47" s="21"/>
      <c r="P47" s="21"/>
      <c r="Q47" s="21"/>
      <c r="R47" s="21"/>
      <c r="S47" s="21"/>
      <c r="T47" s="21"/>
      <c r="U47" s="21"/>
      <c r="V47" s="21"/>
      <c r="W47" s="21"/>
      <c r="X47" s="21"/>
      <c r="Y47" s="21"/>
      <c r="Z47" s="21"/>
      <c r="AA47" s="21"/>
    </row>
    <row r="48" ht="15.75" customHeight="1">
      <c r="A48" s="21" t="b">
        <f>IFERROR(__xludf.DUMMYFUNCTION("OR(REGEXMATCH(B48, ""begin|end|group|text""), NOT(J48 = """"), REGEXMATCH(C48, ""_header""))"),FALSE)</f>
        <v>0</v>
      </c>
      <c r="B48" s="18" t="s">
        <v>204</v>
      </c>
      <c r="C48" s="18" t="s">
        <v>222</v>
      </c>
      <c r="D48" s="18" t="s">
        <v>223</v>
      </c>
      <c r="E48" s="18" t="s">
        <v>224</v>
      </c>
      <c r="H48" s="22" t="s">
        <v>79</v>
      </c>
      <c r="I48" s="22" t="s">
        <v>111</v>
      </c>
      <c r="J48" s="23" t="str">
        <f>IFERROR(__xludf.DUMMYFUNCTION("IF(OR(ISBLANK(C48), ISNA(FILTER(Choice_List_Roles[project_id], REGEXMATCH(Choice_List_Roles[Topics], ""\b"" &amp; C48 &amp; ""\b"")))), """", JOIN("" or "", ARRAYFORMULA(""selected(${project_role_"" &amp; FILTER(Choice_List_Roles[project_id], REGEXMATCH(Choice_List_R"&amp;"oles[Topics], ""\b"" &amp; C48 &amp; ""\b"")) &amp; ""}, '"" &amp; FILTER(Choice_List_Roles[name], REGEXMATCH(Choice_List_Roles[Topics], C48)) &amp; ""')"")))"),"")</f>
        <v/>
      </c>
      <c r="M48" s="21"/>
      <c r="N48" s="21"/>
      <c r="O48" s="21"/>
      <c r="P48" s="21"/>
      <c r="Q48" s="21"/>
      <c r="R48" s="21"/>
      <c r="S48" s="21"/>
      <c r="T48" s="21"/>
      <c r="U48" s="21"/>
      <c r="V48" s="21"/>
      <c r="W48" s="21"/>
      <c r="X48" s="21"/>
      <c r="Y48" s="21"/>
      <c r="Z48" s="21"/>
      <c r="AA48" s="21"/>
    </row>
    <row r="49" ht="15.75" customHeight="1">
      <c r="A49" s="21" t="b">
        <f>IFERROR(__xludf.DUMMYFUNCTION("OR(REGEXMATCH(B49, ""begin|end|group|text""), NOT(J49 = """"), REGEXMATCH(C49, ""_header""))"),FALSE)</f>
        <v>0</v>
      </c>
      <c r="B49" s="18" t="s">
        <v>204</v>
      </c>
      <c r="C49" s="18" t="s">
        <v>225</v>
      </c>
      <c r="D49" s="18" t="s">
        <v>226</v>
      </c>
      <c r="E49" s="18" t="s">
        <v>227</v>
      </c>
      <c r="H49" s="22" t="s">
        <v>79</v>
      </c>
      <c r="I49" s="22" t="s">
        <v>111</v>
      </c>
      <c r="J49" s="23" t="str">
        <f>IFERROR(__xludf.DUMMYFUNCTION("IF(OR(ISBLANK(C49), ISNA(FILTER(Choice_List_Roles[project_id], REGEXMATCH(Choice_List_Roles[Topics], ""\b"" &amp; C49 &amp; ""\b"")))), """", JOIN("" or "", ARRAYFORMULA(""selected(${project_role_"" &amp; FILTER(Choice_List_Roles[project_id], REGEXMATCH(Choice_List_R"&amp;"oles[Topics], ""\b"" &amp; C49 &amp; ""\b"")) &amp; ""}, '"" &amp; FILTER(Choice_List_Roles[name], REGEXMATCH(Choice_List_Roles[Topics], C49)) &amp; ""')"")))"),"")</f>
        <v/>
      </c>
      <c r="M49" s="21"/>
      <c r="N49" s="21"/>
      <c r="O49" s="21"/>
      <c r="P49" s="21"/>
      <c r="Q49" s="21"/>
      <c r="R49" s="21"/>
      <c r="S49" s="21"/>
      <c r="T49" s="21"/>
      <c r="U49" s="21"/>
      <c r="V49" s="21"/>
      <c r="W49" s="21"/>
      <c r="X49" s="21"/>
      <c r="Y49" s="21"/>
      <c r="Z49" s="21"/>
      <c r="AA49" s="21"/>
    </row>
    <row r="50" ht="15.75" customHeight="1">
      <c r="A50" s="21" t="b">
        <f>IFERROR(__xludf.DUMMYFUNCTION("OR(REGEXMATCH(B50, ""begin|end|group|text""), NOT(J50 = """"), REGEXMATCH(C50, ""_header""))"),FALSE)</f>
        <v>0</v>
      </c>
      <c r="B50" s="18" t="s">
        <v>204</v>
      </c>
      <c r="C50" s="8" t="s">
        <v>228</v>
      </c>
      <c r="D50" s="8" t="s">
        <v>229</v>
      </c>
      <c r="E50" s="8" t="s">
        <v>229</v>
      </c>
      <c r="H50" s="22" t="s">
        <v>79</v>
      </c>
      <c r="I50" s="22" t="s">
        <v>111</v>
      </c>
      <c r="J50" s="23" t="str">
        <f>IFERROR(__xludf.DUMMYFUNCTION("IF(OR(ISBLANK(C50), ISNA(FILTER(Choice_List_Roles[project_id], REGEXMATCH(Choice_List_Roles[Topics], ""\b"" &amp; C50 &amp; ""\b"")))), """", JOIN("" or "", ARRAYFORMULA(""selected(${project_role_"" &amp; FILTER(Choice_List_Roles[project_id], REGEXMATCH(Choice_List_R"&amp;"oles[Topics], ""\b"" &amp; C50 &amp; ""\b"")) &amp; ""}, '"" &amp; FILTER(Choice_List_Roles[name], REGEXMATCH(Choice_List_Roles[Topics], C50)) &amp; ""')"")))"),"")</f>
        <v/>
      </c>
      <c r="M50" s="21"/>
      <c r="N50" s="21"/>
      <c r="O50" s="21"/>
      <c r="P50" s="21"/>
      <c r="Q50" s="21"/>
      <c r="R50" s="21"/>
      <c r="S50" s="21"/>
      <c r="T50" s="21"/>
      <c r="U50" s="21"/>
      <c r="V50" s="21"/>
      <c r="W50" s="21"/>
      <c r="X50" s="21"/>
      <c r="Y50" s="21"/>
      <c r="Z50" s="21"/>
      <c r="AA50" s="21"/>
    </row>
    <row r="51" ht="15.75" customHeight="1">
      <c r="A51" s="21" t="b">
        <f>IFERROR(__xludf.DUMMYFUNCTION("OR(REGEXMATCH(B51, ""begin|end|group|text""), NOT(J51 = """"), REGEXMATCH(C51, ""_header""))"),FALSE)</f>
        <v>0</v>
      </c>
      <c r="B51" s="18" t="s">
        <v>204</v>
      </c>
      <c r="C51" s="8" t="s">
        <v>230</v>
      </c>
      <c r="D51" s="8" t="s">
        <v>231</v>
      </c>
      <c r="E51" s="8" t="s">
        <v>232</v>
      </c>
      <c r="H51" s="22" t="s">
        <v>79</v>
      </c>
      <c r="I51" s="22" t="s">
        <v>111</v>
      </c>
      <c r="J51" s="23" t="str">
        <f>IFERROR(__xludf.DUMMYFUNCTION("IF(OR(ISBLANK(C51), ISNA(FILTER(Choice_List_Roles[project_id], REGEXMATCH(Choice_List_Roles[Topics], ""\b"" &amp; C51 &amp; ""\b"")))), """", JOIN("" or "", ARRAYFORMULA(""selected(${project_role_"" &amp; FILTER(Choice_List_Roles[project_id], REGEXMATCH(Choice_List_R"&amp;"oles[Topics], ""\b"" &amp; C51 &amp; ""\b"")) &amp; ""}, '"" &amp; FILTER(Choice_List_Roles[name], REGEXMATCH(Choice_List_Roles[Topics], C51)) &amp; ""')"")))"),"")</f>
        <v/>
      </c>
      <c r="M51" s="21"/>
      <c r="N51" s="21"/>
      <c r="O51" s="21"/>
      <c r="P51" s="21"/>
      <c r="Q51" s="21"/>
      <c r="R51" s="21"/>
      <c r="S51" s="21"/>
      <c r="T51" s="21"/>
      <c r="U51" s="21"/>
      <c r="V51" s="21"/>
      <c r="W51" s="21"/>
      <c r="X51" s="21"/>
      <c r="Y51" s="21"/>
      <c r="Z51" s="21"/>
      <c r="AA51" s="21"/>
    </row>
    <row r="52" ht="15.75" customHeight="1">
      <c r="A52" s="21" t="b">
        <f>IFERROR(__xludf.DUMMYFUNCTION("OR(REGEXMATCH(B52, ""begin|end|group|text""), NOT(J52 = """"), REGEXMATCH(C52, ""_header""))"),TRUE)</f>
        <v>1</v>
      </c>
      <c r="B52" s="18" t="s">
        <v>204</v>
      </c>
      <c r="C52" s="8" t="s">
        <v>233</v>
      </c>
      <c r="D52" s="8" t="s">
        <v>234</v>
      </c>
      <c r="E52" s="8" t="s">
        <v>235</v>
      </c>
      <c r="H52" s="22" t="s">
        <v>79</v>
      </c>
      <c r="I52" s="22" t="s">
        <v>111</v>
      </c>
      <c r="J52" s="23" t="str">
        <f>IFERROR(__xludf.DUMMYFUNCTION("IF(OR(ISBLANK(C52), ISNA(FILTER(Choice_List_Roles[project_id], REGEXMATCH(Choice_List_Roles[Topics], ""\b"" &amp; C52 &amp; ""\b"")))), """", JOIN("" or "", ARRAYFORMULA(""selected(${project_role_"" &amp; FILTER(Choice_List_Roles[project_id], REGEXMATCH(Choice_List_R"&amp;"oles[Topics], ""\b"" &amp; C52 &amp; ""\b"")) &amp; ""}, '"" &amp; FILTER(Choice_List_Roles[name], REGEXMATCH(Choice_List_Roles[Topics], C52)) &amp; ""')"")))"),"selected(${project_role_2026-02-DTC}, 'role-surveydesign-datacollection')")</f>
        <v>selected(${project_role_2026-02-DTC}, 'role-surveydesign-datacollection')</v>
      </c>
      <c r="M52" s="21"/>
      <c r="N52" s="21"/>
      <c r="O52" s="21"/>
      <c r="P52" s="21"/>
      <c r="Q52" s="21"/>
      <c r="R52" s="21"/>
      <c r="S52" s="21"/>
      <c r="T52" s="21"/>
      <c r="U52" s="21"/>
      <c r="V52" s="21"/>
      <c r="W52" s="21"/>
      <c r="X52" s="21"/>
      <c r="Y52" s="21"/>
      <c r="Z52" s="21"/>
      <c r="AA52" s="21"/>
    </row>
    <row r="53" ht="15.75" customHeight="1">
      <c r="A53" s="21" t="b">
        <f>IFERROR(__xludf.DUMMYFUNCTION("OR(REGEXMATCH(B53, ""begin|end|group|text""), NOT(J53 = """"), REGEXMATCH(C53, ""_header""))"),TRUE)</f>
        <v>1</v>
      </c>
      <c r="B53" s="18" t="s">
        <v>204</v>
      </c>
      <c r="C53" s="8" t="s">
        <v>236</v>
      </c>
      <c r="D53" s="8" t="s">
        <v>237</v>
      </c>
      <c r="E53" s="8" t="s">
        <v>238</v>
      </c>
      <c r="H53" s="22" t="s">
        <v>79</v>
      </c>
      <c r="I53" s="22" t="s">
        <v>111</v>
      </c>
      <c r="J53" s="23" t="str">
        <f>IFERROR(__xludf.DUMMYFUNCTION("IF(OR(ISBLANK(C53), ISNA(FILTER(Choice_List_Roles[project_id], REGEXMATCH(Choice_List_Roles[Topics], ""\b"" &amp; C53 &amp; ""\b"")))), """", JOIN("" or "", ARRAYFORMULA(""selected(${project_role_"" &amp; FILTER(Choice_List_Roles[project_id], REGEXMATCH(Choice_List_R"&amp;"oles[Topics], ""\b"" &amp; C53 &amp; ""\b"")) &amp; ""}, '"" &amp; FILTER(Choice_List_Roles[name], REGEXMATCH(Choice_List_Roles[Topics], C53)) &amp; ""')"")))"),"selected(${project_role_2026-02-DTC}, 'role-surveydesign-datacollection')")</f>
        <v>selected(${project_role_2026-02-DTC}, 'role-surveydesign-datacollection')</v>
      </c>
      <c r="M53" s="21"/>
      <c r="N53" s="21"/>
      <c r="O53" s="21"/>
      <c r="P53" s="21"/>
      <c r="Q53" s="21"/>
      <c r="R53" s="21"/>
      <c r="S53" s="21"/>
      <c r="T53" s="21"/>
      <c r="U53" s="21"/>
      <c r="V53" s="21"/>
      <c r="W53" s="21"/>
      <c r="X53" s="21"/>
      <c r="Y53" s="21"/>
      <c r="Z53" s="21"/>
      <c r="AA53" s="21"/>
    </row>
    <row r="54" ht="15.75" customHeight="1">
      <c r="A54" s="21" t="b">
        <f>IFERROR(__xludf.DUMMYFUNCTION("OR(REGEXMATCH(B54, ""begin|end|group|text""), NOT(J54 = """"), REGEXMATCH(C54, ""_header""))"),TRUE)</f>
        <v>1</v>
      </c>
      <c r="B54" s="18" t="s">
        <v>140</v>
      </c>
      <c r="H54" s="22"/>
      <c r="I54" s="22"/>
      <c r="J54" s="23" t="str">
        <f>IFERROR(__xludf.DUMMYFUNCTION("IF(OR(ISBLANK(C54), ISNA(FILTER(Choice_List_Roles[project_id], REGEXMATCH(Choice_List_Roles[Topics], ""\b"" &amp; C54 &amp; ""\b"")))), """", JOIN("" or "", ARRAYFORMULA(""selected(${project_role_"" &amp; FILTER(Choice_List_Roles[project_id], REGEXMATCH(Choice_List_R"&amp;"oles[Topics], ""\b"" &amp; C54 &amp; ""\b"")) &amp; ""}, '"" &amp; FILTER(Choice_List_Roles[name], REGEXMATCH(Choice_List_Roles[Topics], C54)) &amp; ""')"")))"),"")</f>
        <v/>
      </c>
      <c r="M54" s="21"/>
      <c r="N54" s="21"/>
      <c r="O54" s="21"/>
      <c r="P54" s="21"/>
      <c r="Q54" s="21"/>
      <c r="R54" s="21"/>
      <c r="S54" s="21"/>
      <c r="T54" s="21"/>
      <c r="U54" s="21"/>
      <c r="V54" s="21"/>
      <c r="W54" s="21"/>
      <c r="X54" s="21"/>
      <c r="Y54" s="21"/>
      <c r="Z54" s="21"/>
      <c r="AA54" s="21"/>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customSheetViews>
    <customSheetView guid="{B40601AF-B3B7-4C11-8A68-F8AFA1588674}" filter="1" showAutoFilter="1">
      <autoFilter ref="$A$1:$AA$54">
        <filterColumn colId="0">
          <filters>
            <filter val="TRUE"/>
          </filters>
        </filterColumn>
      </autoFilter>
    </customSheetView>
  </customSheetViews>
  <dataValidations>
    <dataValidation type="list" allowBlank="1" showDropDown="1" showErrorMessage="1" sqref="H2:H54">
      <formula1>"false,true"</formula1>
    </dataValidation>
    <dataValidation type="list" allowBlank="1" showDropDown="1" showErrorMessage="1" sqref="I2:I54">
      <formula1>"label,list-nolabel,field-list,multiline"</formula1>
    </dataValidation>
  </dataValidation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33.71"/>
    <col customWidth="1" min="3" max="6" width="43.0"/>
    <col customWidth="1" min="7" max="7" width="17.57"/>
    <col customWidth="1" min="8" max="8" width="20.86"/>
    <col customWidth="1" min="9" max="9" width="13.71"/>
    <col customWidth="1" min="10" max="10" width="15.71"/>
    <col customWidth="1" min="11" max="11" width="25.14"/>
    <col customWidth="1" min="12" max="26" width="8.71"/>
  </cols>
  <sheetData>
    <row r="1" ht="22.5" customHeight="1">
      <c r="A1" s="4" t="s">
        <v>71</v>
      </c>
      <c r="B1" s="4" t="s">
        <v>8</v>
      </c>
      <c r="C1" s="4" t="s">
        <v>9</v>
      </c>
      <c r="D1" s="4" t="s">
        <v>10</v>
      </c>
      <c r="E1" s="4" t="s">
        <v>72</v>
      </c>
      <c r="F1" s="4" t="s">
        <v>73</v>
      </c>
      <c r="G1" s="4" t="s">
        <v>74</v>
      </c>
      <c r="H1" s="4" t="s">
        <v>75</v>
      </c>
      <c r="I1" s="4" t="s">
        <v>76</v>
      </c>
      <c r="J1" s="4" t="s">
        <v>77</v>
      </c>
      <c r="K1" s="4" t="s">
        <v>78</v>
      </c>
    </row>
    <row r="2" ht="15.75" customHeight="1">
      <c r="A2" s="18" t="s">
        <v>96</v>
      </c>
      <c r="B2" s="18" t="s">
        <v>239</v>
      </c>
      <c r="C2" s="8" t="s">
        <v>240</v>
      </c>
      <c r="D2" s="8" t="s">
        <v>241</v>
      </c>
      <c r="G2" s="22" t="s">
        <v>100</v>
      </c>
      <c r="H2" s="22"/>
    </row>
    <row r="3" ht="15.75" customHeight="1">
      <c r="A3" s="18" t="s">
        <v>133</v>
      </c>
      <c r="B3" s="18" t="s">
        <v>242</v>
      </c>
      <c r="C3" s="8" t="s">
        <v>243</v>
      </c>
      <c r="D3" s="8" t="s">
        <v>244</v>
      </c>
      <c r="E3" s="18" t="s">
        <v>245</v>
      </c>
      <c r="F3" s="18" t="s">
        <v>246</v>
      </c>
      <c r="G3" s="22" t="s">
        <v>79</v>
      </c>
      <c r="H3" s="22" t="s">
        <v>139</v>
      </c>
    </row>
    <row r="4" ht="15.75" customHeight="1">
      <c r="A4" s="18" t="s">
        <v>133</v>
      </c>
      <c r="B4" s="18" t="s">
        <v>247</v>
      </c>
      <c r="C4" s="18" t="s">
        <v>248</v>
      </c>
      <c r="D4" s="18" t="s">
        <v>249</v>
      </c>
      <c r="E4" s="18" t="s">
        <v>245</v>
      </c>
      <c r="F4" s="18" t="s">
        <v>246</v>
      </c>
      <c r="G4" s="22" t="s">
        <v>79</v>
      </c>
      <c r="H4" s="22" t="s">
        <v>139</v>
      </c>
    </row>
    <row r="5" ht="15.75" customHeight="1">
      <c r="A5" s="18" t="s">
        <v>250</v>
      </c>
      <c r="B5" s="18" t="s">
        <v>251</v>
      </c>
      <c r="C5" s="18" t="s">
        <v>252</v>
      </c>
      <c r="D5" s="18" t="s">
        <v>253</v>
      </c>
      <c r="E5" s="18" t="s">
        <v>254</v>
      </c>
      <c r="F5" s="18" t="s">
        <v>255</v>
      </c>
      <c r="G5" s="22" t="s">
        <v>79</v>
      </c>
      <c r="H5" s="22"/>
    </row>
    <row r="6" ht="15.75" customHeight="1">
      <c r="A6" s="18" t="s">
        <v>133</v>
      </c>
      <c r="B6" s="18" t="s">
        <v>256</v>
      </c>
      <c r="C6" s="8" t="s">
        <v>257</v>
      </c>
      <c r="D6" s="8" t="s">
        <v>258</v>
      </c>
      <c r="E6" s="18" t="s">
        <v>259</v>
      </c>
      <c r="F6" s="18" t="s">
        <v>260</v>
      </c>
      <c r="G6" s="22" t="s">
        <v>100</v>
      </c>
      <c r="H6" s="22"/>
      <c r="I6" s="18" t="s">
        <v>261</v>
      </c>
    </row>
    <row r="7" ht="15.75" customHeight="1">
      <c r="A7" s="18" t="s">
        <v>140</v>
      </c>
      <c r="G7" s="22"/>
      <c r="H7" s="22"/>
    </row>
    <row r="8" ht="15.75" customHeight="1">
      <c r="A8" s="18" t="s">
        <v>140</v>
      </c>
      <c r="G8" s="22"/>
      <c r="H8" s="22"/>
    </row>
    <row r="9" ht="15.75" customHeight="1">
      <c r="A9" s="18" t="s">
        <v>96</v>
      </c>
      <c r="B9" s="18" t="s">
        <v>262</v>
      </c>
      <c r="C9" s="8" t="s">
        <v>263</v>
      </c>
      <c r="D9" s="8" t="s">
        <v>264</v>
      </c>
      <c r="G9" s="22" t="s">
        <v>100</v>
      </c>
      <c r="H9" s="22"/>
    </row>
    <row r="10" ht="15.75" customHeight="1">
      <c r="A10" s="18" t="s">
        <v>133</v>
      </c>
      <c r="B10" s="18" t="s">
        <v>265</v>
      </c>
      <c r="C10" s="18" t="s">
        <v>266</v>
      </c>
      <c r="D10" s="18" t="s">
        <v>267</v>
      </c>
      <c r="G10" s="22" t="s">
        <v>79</v>
      </c>
      <c r="H10" s="22"/>
    </row>
    <row r="11" ht="15.75" customHeight="1">
      <c r="A11" s="18" t="s">
        <v>133</v>
      </c>
      <c r="B11" s="18" t="s">
        <v>268</v>
      </c>
      <c r="C11" s="18" t="s">
        <v>269</v>
      </c>
      <c r="D11" s="18" t="s">
        <v>270</v>
      </c>
      <c r="G11" s="22" t="s">
        <v>79</v>
      </c>
      <c r="H11" s="22"/>
    </row>
    <row r="12" ht="15.75" customHeight="1">
      <c r="A12" s="18" t="s">
        <v>133</v>
      </c>
      <c r="B12" s="18" t="s">
        <v>271</v>
      </c>
      <c r="C12" s="18" t="s">
        <v>272</v>
      </c>
      <c r="D12" s="18" t="s">
        <v>273</v>
      </c>
      <c r="G12" s="22" t="s">
        <v>79</v>
      </c>
      <c r="H12" s="22"/>
      <c r="J12" s="18" t="s">
        <v>274</v>
      </c>
      <c r="K12" s="18" t="s">
        <v>275</v>
      </c>
    </row>
    <row r="13" ht="15.75" customHeight="1">
      <c r="A13" s="18" t="s">
        <v>276</v>
      </c>
      <c r="B13" s="18" t="s">
        <v>277</v>
      </c>
      <c r="C13" s="18" t="s">
        <v>278</v>
      </c>
      <c r="D13" s="18" t="s">
        <v>279</v>
      </c>
      <c r="E13" s="18" t="s">
        <v>280</v>
      </c>
      <c r="F13" s="18" t="s">
        <v>281</v>
      </c>
      <c r="G13" s="22" t="s">
        <v>79</v>
      </c>
      <c r="H13" s="22"/>
    </row>
    <row r="14" ht="15.75" customHeight="1">
      <c r="A14" s="18" t="s">
        <v>133</v>
      </c>
      <c r="B14" s="18" t="s">
        <v>282</v>
      </c>
      <c r="C14" s="18" t="s">
        <v>283</v>
      </c>
      <c r="D14" s="18" t="s">
        <v>284</v>
      </c>
      <c r="E14" s="18" t="s">
        <v>285</v>
      </c>
      <c r="F14" s="18" t="s">
        <v>286</v>
      </c>
      <c r="G14" s="22" t="s">
        <v>79</v>
      </c>
      <c r="H14" s="22"/>
      <c r="I14" s="18" t="s">
        <v>287</v>
      </c>
    </row>
    <row r="15" ht="15.75" customHeight="1">
      <c r="A15" s="18" t="s">
        <v>140</v>
      </c>
      <c r="G15" s="22"/>
      <c r="H15" s="22"/>
    </row>
    <row r="16" ht="15.75" customHeight="1">
      <c r="A16" s="18" t="s">
        <v>288</v>
      </c>
      <c r="B16" s="18" t="s">
        <v>289</v>
      </c>
      <c r="C16" s="18" t="s">
        <v>290</v>
      </c>
      <c r="D16" s="18" t="s">
        <v>291</v>
      </c>
      <c r="E16" s="18" t="s">
        <v>292</v>
      </c>
      <c r="F16" s="18" t="s">
        <v>293</v>
      </c>
      <c r="G16" s="22" t="s">
        <v>79</v>
      </c>
      <c r="H16" s="22"/>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sheetData>
  <dataValidations>
    <dataValidation type="list" allowBlank="1" showDropDown="1" showErrorMessage="1" sqref="G2:G16">
      <formula1>"false,true"</formula1>
    </dataValidation>
    <dataValidation type="list" allowBlank="1" showDropDown="1" showErrorMessage="1" sqref="H2:H16">
      <formula1>"label,list-nolabel,field-list,multiline"</formula1>
    </dataValidation>
  </dataValidations>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0"/>
  </cols>
  <sheetData>
    <row r="1">
      <c r="A1" s="33" t="str">
        <f>IFERROR(__xludf.DUMMYFUNCTION("QUERY(
  {projects!A1:D1519; choices_fixed!A2:D1519; roles!A2:D1519},
  ""select * where Col1 is not null"",
  0
)"),"list_name")</f>
        <v>list_name</v>
      </c>
      <c r="B1" s="33" t="str">
        <f>IFERROR(__xludf.DUMMYFUNCTION("""COMPUTED_VALUE"""),"name")</f>
        <v>name</v>
      </c>
      <c r="C1" s="17" t="str">
        <f>IFERROR(__xludf.DUMMYFUNCTION("""COMPUTED_VALUE"""),"label::Deutsch (de)")</f>
        <v>label::Deutsch (de)</v>
      </c>
      <c r="D1" s="17" t="str">
        <f>IFERROR(__xludf.DUMMYFUNCTION("""COMPUTED_VALUE"""),"label::English (en)")</f>
        <v>label::English (en)</v>
      </c>
    </row>
    <row r="2">
      <c r="A2" s="17" t="str">
        <f>IFERROR(__xludf.DUMMYFUNCTION("""COMPUTED_VALUE"""),"mb5co98")</f>
        <v>mb5co98</v>
      </c>
      <c r="B2" s="17" t="str">
        <f>IFERROR(__xludf.DUMMYFUNCTION("""COMPUTED_VALUE"""),"2026-02-DTC")</f>
        <v>2026-02-DTC</v>
      </c>
      <c r="C2" s="17" t="str">
        <f>IFERROR(__xludf.DUMMYFUNCTION("""COMPUTED_VALUE"""),"Dare2Care")</f>
        <v>Dare2Care</v>
      </c>
      <c r="D2" s="17" t="str">
        <f>IFERROR(__xludf.DUMMYFUNCTION("""COMPUTED_VALUE"""),"Dare2Care")</f>
        <v>Dare2Care</v>
      </c>
    </row>
    <row r="3">
      <c r="A3" s="17" t="str">
        <f>IFERROR(__xludf.DUMMYFUNCTION("""COMPUTED_VALUE"""),"iy6st81")</f>
        <v>iy6st81</v>
      </c>
      <c r="B3" s="17" t="str">
        <f>IFERROR(__xludf.DUMMYFUNCTION("""COMPUTED_VALUE"""),"beginner")</f>
        <v>beginner</v>
      </c>
      <c r="C3" s="17" t="str">
        <f>IFERROR(__xludf.DUMMYFUNCTION("""COMPUTED_VALUE"""),"Anfänger:in")</f>
        <v>Anfänger:in</v>
      </c>
      <c r="D3" s="17" t="str">
        <f>IFERROR(__xludf.DUMMYFUNCTION("""COMPUTED_VALUE"""),"Beginner")</f>
        <v>Beginner</v>
      </c>
    </row>
    <row r="4">
      <c r="A4" s="17" t="str">
        <f>IFERROR(__xludf.DUMMYFUNCTION("""COMPUTED_VALUE"""),"iy6st81")</f>
        <v>iy6st81</v>
      </c>
      <c r="B4" s="17" t="str">
        <f>IFERROR(__xludf.DUMMYFUNCTION("""COMPUTED_VALUE"""),"user")</f>
        <v>user</v>
      </c>
      <c r="C4" s="17" t="str">
        <f>IFERROR(__xludf.DUMMYFUNCTION("""COMPUTED_VALUE"""),"Benutzer:in")</f>
        <v>Benutzer:in</v>
      </c>
      <c r="D4" s="17" t="str">
        <f>IFERROR(__xludf.DUMMYFUNCTION("""COMPUTED_VALUE"""),"User")</f>
        <v>User</v>
      </c>
    </row>
    <row r="5">
      <c r="A5" s="17" t="str">
        <f>IFERROR(__xludf.DUMMYFUNCTION("""COMPUTED_VALUE"""),"iy6st81")</f>
        <v>iy6st81</v>
      </c>
      <c r="B5" s="17" t="str">
        <f>IFERROR(__xludf.DUMMYFUNCTION("""COMPUTED_VALUE"""),"advanced")</f>
        <v>advanced</v>
      </c>
      <c r="C5" s="17" t="str">
        <f>IFERROR(__xludf.DUMMYFUNCTION("""COMPUTED_VALUE"""),"Fortgeschrittene:r")</f>
        <v>Fortgeschrittene:r</v>
      </c>
      <c r="D5" s="17" t="str">
        <f>IFERROR(__xludf.DUMMYFUNCTION("""COMPUTED_VALUE"""),"Advanced")</f>
        <v>Advanced</v>
      </c>
    </row>
    <row r="6">
      <c r="A6" s="17" t="str">
        <f>IFERROR(__xludf.DUMMYFUNCTION("""COMPUTED_VALUE"""),"iy6st81")</f>
        <v>iy6st81</v>
      </c>
      <c r="B6" s="17" t="str">
        <f>IFERROR(__xludf.DUMMYFUNCTION("""COMPUTED_VALUE"""),"expert")</f>
        <v>expert</v>
      </c>
      <c r="C6" s="17" t="str">
        <f>IFERROR(__xludf.DUMMYFUNCTION("""COMPUTED_VALUE"""),"Expert:in")</f>
        <v>Expert:in</v>
      </c>
      <c r="D6" s="17" t="str">
        <f>IFERROR(__xludf.DUMMYFUNCTION("""COMPUTED_VALUE"""),"Expert")</f>
        <v>Expert</v>
      </c>
    </row>
    <row r="7">
      <c r="A7" s="17" t="str">
        <f>IFERROR(__xludf.DUMMYFUNCTION("""COMPUTED_VALUE"""),"xe9mo32")</f>
        <v>xe9mo32</v>
      </c>
      <c r="B7" s="17" t="str">
        <f>IFERROR(__xludf.DUMMYFUNCTION("""COMPUTED_VALUE"""),"beginner")</f>
        <v>beginner</v>
      </c>
      <c r="C7" s="17" t="str">
        <f>IFERROR(__xludf.DUMMYFUNCTION("""COMPUTED_VALUE"""),"Anfänger:in")</f>
        <v>Anfänger:in</v>
      </c>
      <c r="D7" s="17" t="str">
        <f>IFERROR(__xludf.DUMMYFUNCTION("""COMPUTED_VALUE"""),"Beginner")</f>
        <v>Beginner</v>
      </c>
    </row>
    <row r="8">
      <c r="A8" s="17" t="str">
        <f>IFERROR(__xludf.DUMMYFUNCTION("""COMPUTED_VALUE"""),"xe9mo32")</f>
        <v>xe9mo32</v>
      </c>
      <c r="B8" s="17" t="str">
        <f>IFERROR(__xludf.DUMMYFUNCTION("""COMPUTED_VALUE"""),"user")</f>
        <v>user</v>
      </c>
      <c r="C8" s="17" t="str">
        <f>IFERROR(__xludf.DUMMYFUNCTION("""COMPUTED_VALUE"""),"Benutzer:in")</f>
        <v>Benutzer:in</v>
      </c>
      <c r="D8" s="17" t="str">
        <f>IFERROR(__xludf.DUMMYFUNCTION("""COMPUTED_VALUE"""),"User")</f>
        <v>User</v>
      </c>
    </row>
    <row r="9">
      <c r="A9" s="17" t="str">
        <f>IFERROR(__xludf.DUMMYFUNCTION("""COMPUTED_VALUE"""),"xe9mo32")</f>
        <v>xe9mo32</v>
      </c>
      <c r="B9" s="17" t="str">
        <f>IFERROR(__xludf.DUMMYFUNCTION("""COMPUTED_VALUE"""),"advanced")</f>
        <v>advanced</v>
      </c>
      <c r="C9" s="17" t="str">
        <f>IFERROR(__xludf.DUMMYFUNCTION("""COMPUTED_VALUE"""),"Fortgeschrittene:r")</f>
        <v>Fortgeschrittene:r</v>
      </c>
      <c r="D9" s="17" t="str">
        <f>IFERROR(__xludf.DUMMYFUNCTION("""COMPUTED_VALUE"""),"Advanced")</f>
        <v>Advanced</v>
      </c>
    </row>
    <row r="10">
      <c r="A10" s="17" t="str">
        <f>IFERROR(__xludf.DUMMYFUNCTION("""COMPUTED_VALUE"""),"xe9mo32")</f>
        <v>xe9mo32</v>
      </c>
      <c r="B10" s="17" t="str">
        <f>IFERROR(__xludf.DUMMYFUNCTION("""COMPUTED_VALUE"""),"expert")</f>
        <v>expert</v>
      </c>
      <c r="C10" s="17" t="str">
        <f>IFERROR(__xludf.DUMMYFUNCTION("""COMPUTED_VALUE"""),"Expert:in")</f>
        <v>Expert:in</v>
      </c>
      <c r="D10" s="17" t="str">
        <f>IFERROR(__xludf.DUMMYFUNCTION("""COMPUTED_VALUE"""),"Expert")</f>
        <v>Expert</v>
      </c>
    </row>
    <row r="11">
      <c r="A11" s="17" t="str">
        <f>IFERROR(__xludf.DUMMYFUNCTION("""COMPUTED_VALUE"""),"dm1uu76")</f>
        <v>dm1uu76</v>
      </c>
      <c r="B11" s="17" t="str">
        <f>IFERROR(__xludf.DUMMYFUNCTION("""COMPUTED_VALUE"""),"beginner")</f>
        <v>beginner</v>
      </c>
      <c r="C11" s="17" t="str">
        <f>IFERROR(__xludf.DUMMYFUNCTION("""COMPUTED_VALUE"""),"Anfänger:in")</f>
        <v>Anfänger:in</v>
      </c>
      <c r="D11" s="17" t="str">
        <f>IFERROR(__xludf.DUMMYFUNCTION("""COMPUTED_VALUE"""),"Beginner")</f>
        <v>Beginner</v>
      </c>
    </row>
    <row r="12">
      <c r="A12" s="17" t="str">
        <f>IFERROR(__xludf.DUMMYFUNCTION("""COMPUTED_VALUE"""),"dm1uu76")</f>
        <v>dm1uu76</v>
      </c>
      <c r="B12" s="17" t="str">
        <f>IFERROR(__xludf.DUMMYFUNCTION("""COMPUTED_VALUE"""),"user")</f>
        <v>user</v>
      </c>
      <c r="C12" s="17" t="str">
        <f>IFERROR(__xludf.DUMMYFUNCTION("""COMPUTED_VALUE"""),"Benutzer:in")</f>
        <v>Benutzer:in</v>
      </c>
      <c r="D12" s="17" t="str">
        <f>IFERROR(__xludf.DUMMYFUNCTION("""COMPUTED_VALUE"""),"User")</f>
        <v>User</v>
      </c>
    </row>
    <row r="13">
      <c r="A13" s="17" t="str">
        <f>IFERROR(__xludf.DUMMYFUNCTION("""COMPUTED_VALUE"""),"dm1uu76")</f>
        <v>dm1uu76</v>
      </c>
      <c r="B13" s="17" t="str">
        <f>IFERROR(__xludf.DUMMYFUNCTION("""COMPUTED_VALUE"""),"advanced")</f>
        <v>advanced</v>
      </c>
      <c r="C13" s="17" t="str">
        <f>IFERROR(__xludf.DUMMYFUNCTION("""COMPUTED_VALUE"""),"Fortgeschrittene:r")</f>
        <v>Fortgeschrittene:r</v>
      </c>
      <c r="D13" s="17" t="str">
        <f>IFERROR(__xludf.DUMMYFUNCTION("""COMPUTED_VALUE"""),"Advanced")</f>
        <v>Advanced</v>
      </c>
    </row>
    <row r="14">
      <c r="A14" s="17" t="str">
        <f>IFERROR(__xludf.DUMMYFUNCTION("""COMPUTED_VALUE"""),"dm1uu76")</f>
        <v>dm1uu76</v>
      </c>
      <c r="B14" s="17" t="str">
        <f>IFERROR(__xludf.DUMMYFUNCTION("""COMPUTED_VALUE"""),"expert")</f>
        <v>expert</v>
      </c>
      <c r="C14" s="17" t="str">
        <f>IFERROR(__xludf.DUMMYFUNCTION("""COMPUTED_VALUE"""),"Expert:in")</f>
        <v>Expert:in</v>
      </c>
      <c r="D14" s="17" t="str">
        <f>IFERROR(__xludf.DUMMYFUNCTION("""COMPUTED_VALUE"""),"Expert")</f>
        <v>Expert</v>
      </c>
    </row>
    <row r="15">
      <c r="A15" s="17" t="str">
        <f>IFERROR(__xludf.DUMMYFUNCTION("""COMPUTED_VALUE"""),"il2wc73")</f>
        <v>il2wc73</v>
      </c>
      <c r="B15" s="17" t="str">
        <f>IFERROR(__xludf.DUMMYFUNCTION("""COMPUTED_VALUE"""),"successful")</f>
        <v>successful</v>
      </c>
      <c r="C15" s="17" t="str">
        <f>IFERROR(__xludf.DUMMYFUNCTION("""COMPUTED_VALUE"""),"Ja, und ich war mindestens einmal erfolgreich / Teil eines Projektteams.")</f>
        <v>Ja, und ich war mindestens einmal erfolgreich / Teil eines Projektteams.</v>
      </c>
      <c r="D15" s="17" t="str">
        <f>IFERROR(__xludf.DUMMYFUNCTION("""COMPUTED_VALUE"""),"Yes, and I have been successful / part of a project team at least once.")</f>
        <v>Yes, and I have been successful / part of a project team at least once.</v>
      </c>
    </row>
    <row r="16">
      <c r="A16" s="17" t="str">
        <f>IFERROR(__xludf.DUMMYFUNCTION("""COMPUTED_VALUE"""),"il2wc73")</f>
        <v>il2wc73</v>
      </c>
      <c r="B16" s="17" t="str">
        <f>IFERROR(__xludf.DUMMYFUNCTION("""COMPUTED_VALUE"""),"not_successful")</f>
        <v>not_successful</v>
      </c>
      <c r="C16" s="17" t="str">
        <f>IFERROR(__xludf.DUMMYFUNCTION("""COMPUTED_VALUE"""),"Ja, aber ich war nicht erfolgreich / ich wurde bis jetzt immer abgelehnt.")</f>
        <v>Ja, aber ich war nicht erfolgreich / ich wurde bis jetzt immer abgelehnt.</v>
      </c>
      <c r="D16" s="17" t="str">
        <f>IFERROR(__xludf.DUMMYFUNCTION("""COMPUTED_VALUE"""),"Yes, but I have not been successful / all my applications have been rejected so far.")</f>
        <v>Yes, but I have not been successful / all my applications have been rejected so far.</v>
      </c>
    </row>
    <row r="17">
      <c r="A17" s="17" t="str">
        <f>IFERROR(__xludf.DUMMYFUNCTION("""COMPUTED_VALUE"""),"il2wc73")</f>
        <v>il2wc73</v>
      </c>
      <c r="B17" s="17" t="str">
        <f>IFERROR(__xludf.DUMMYFUNCTION("""COMPUTED_VALUE"""),"first_application")</f>
        <v>first_application</v>
      </c>
      <c r="C17" s="17" t="str">
        <f>IFERROR(__xludf.DUMMYFUNCTION("""COMPUTED_VALUE"""),"Nein, das ist meine erste Bewerbung.")</f>
        <v>Nein, das ist meine erste Bewerbung.</v>
      </c>
      <c r="D17" s="17" t="str">
        <f>IFERROR(__xludf.DUMMYFUNCTION("""COMPUTED_VALUE"""),"No, this is my first application.")</f>
        <v>No, this is my first application.</v>
      </c>
    </row>
    <row r="18">
      <c r="A18" s="17" t="str">
        <f>IFERROR(__xludf.DUMMYFUNCTION("""COMPUTED_VALUE"""),"iy7os66")</f>
        <v>iy7os66</v>
      </c>
      <c r="B18" s="17" t="str">
        <f>IFERROR(__xludf.DUMMYFUNCTION("""COMPUTED_VALUE"""),"female")</f>
        <v>female</v>
      </c>
      <c r="C18" s="17" t="str">
        <f>IFERROR(__xludf.DUMMYFUNCTION("""COMPUTED_VALUE"""),"Weiblich")</f>
        <v>Weiblich</v>
      </c>
      <c r="D18" s="17" t="str">
        <f>IFERROR(__xludf.DUMMYFUNCTION("""COMPUTED_VALUE"""),"Female")</f>
        <v>Female</v>
      </c>
    </row>
    <row r="19">
      <c r="A19" s="17" t="str">
        <f>IFERROR(__xludf.DUMMYFUNCTION("""COMPUTED_VALUE"""),"iy7os66")</f>
        <v>iy7os66</v>
      </c>
      <c r="B19" s="17" t="str">
        <f>IFERROR(__xludf.DUMMYFUNCTION("""COMPUTED_VALUE"""),"male")</f>
        <v>male</v>
      </c>
      <c r="C19" s="17" t="str">
        <f>IFERROR(__xludf.DUMMYFUNCTION("""COMPUTED_VALUE"""),"Männlich")</f>
        <v>Männlich</v>
      </c>
      <c r="D19" s="17" t="str">
        <f>IFERROR(__xludf.DUMMYFUNCTION("""COMPUTED_VALUE"""),"Male")</f>
        <v>Male</v>
      </c>
    </row>
    <row r="20">
      <c r="A20" s="17" t="str">
        <f>IFERROR(__xludf.DUMMYFUNCTION("""COMPUTED_VALUE"""),"iy7os66")</f>
        <v>iy7os66</v>
      </c>
      <c r="B20" s="17" t="str">
        <f>IFERROR(__xludf.DUMMYFUNCTION("""COMPUTED_VALUE"""),"non_binary")</f>
        <v>non_binary</v>
      </c>
      <c r="C20" s="17" t="str">
        <f>IFERROR(__xludf.DUMMYFUNCTION("""COMPUTED_VALUE"""),"Nicht-binär / non-binary")</f>
        <v>Nicht-binär / non-binary</v>
      </c>
      <c r="D20" s="17" t="str">
        <f>IFERROR(__xludf.DUMMYFUNCTION("""COMPUTED_VALUE"""),"Non-binary")</f>
        <v>Non-binary</v>
      </c>
    </row>
    <row r="21">
      <c r="A21" s="17" t="str">
        <f>IFERROR(__xludf.DUMMYFUNCTION("""COMPUTED_VALUE"""),"iy7os66")</f>
        <v>iy7os66</v>
      </c>
      <c r="B21" s="17" t="str">
        <f>IFERROR(__xludf.DUMMYFUNCTION("""COMPUTED_VALUE"""),"not_disclosed")</f>
        <v>not_disclosed</v>
      </c>
      <c r="C21" s="17" t="str">
        <f>IFERROR(__xludf.DUMMYFUNCTION("""COMPUTED_VALUE"""),"Das möchte ich nicht angeben")</f>
        <v>Das möchte ich nicht angeben</v>
      </c>
      <c r="D21" s="17" t="str">
        <f>IFERROR(__xludf.DUMMYFUNCTION("""COMPUTED_VALUE"""),"I do not want to disclose my gender")</f>
        <v>I do not want to disclose my gender</v>
      </c>
    </row>
    <row r="22">
      <c r="A22" s="17" t="str">
        <f>IFERROR(__xludf.DUMMYFUNCTION("""COMPUTED_VALUE"""),"iy7os66")</f>
        <v>iy7os66</v>
      </c>
      <c r="B22" s="17" t="str">
        <f>IFERROR(__xludf.DUMMYFUNCTION("""COMPUTED_VALUE"""),"self_identification")</f>
        <v>self_identification</v>
      </c>
      <c r="C22" s="17" t="str">
        <f>IFERROR(__xludf.DUMMYFUNCTION("""COMPUTED_VALUE"""),"Mein Geschlecht ist (eigene Angabe):")</f>
        <v>Mein Geschlecht ist (eigene Angabe):</v>
      </c>
      <c r="D22" s="17" t="str">
        <f>IFERROR(__xludf.DUMMYFUNCTION("""COMPUTED_VALUE"""),"My gender is (manually specify):")</f>
        <v>My gender is (manually specify):</v>
      </c>
    </row>
    <row r="23">
      <c r="A23" s="17" t="str">
        <f>IFERROR(__xludf.DUMMYFUNCTION("""COMPUTED_VALUE"""),"mj8ty33")</f>
        <v>mj8ty33</v>
      </c>
      <c r="B23" s="17" t="str">
        <f>IFERROR(__xludf.DUMMYFUNCTION("""COMPUTED_VALUE"""),"yes")</f>
        <v>yes</v>
      </c>
      <c r="C23" s="17" t="str">
        <f>IFERROR(__xludf.DUMMYFUNCTION("""COMPUTED_VALUE"""),"Ja")</f>
        <v>Ja</v>
      </c>
      <c r="D23" s="17" t="str">
        <f>IFERROR(__xludf.DUMMYFUNCTION("""COMPUTED_VALUE"""),"Yes")</f>
        <v>Yes</v>
      </c>
    </row>
    <row r="24">
      <c r="A24" s="17" t="str">
        <f>IFERROR(__xludf.DUMMYFUNCTION("""COMPUTED_VALUE"""),"cl-role-2026-02-DTC")</f>
        <v>cl-role-2026-02-DTC</v>
      </c>
      <c r="B24" s="17" t="str">
        <f>IFERROR(__xludf.DUMMYFUNCTION("""COMPUTED_VALUE"""),"role-surveydesign-datacollection")</f>
        <v>role-surveydesign-datacollection</v>
      </c>
      <c r="C24" s="17" t="str">
        <f>IFERROR(__xludf.DUMMYFUNCTION("""COMPUTED_VALUE"""),"Sparringspartner*in Surveydesign und Datenerhebung")</f>
        <v>Sparringspartner*in Surveydesign und Datenerhebung</v>
      </c>
      <c r="D24" s="17" t="str">
        <f>IFERROR(__xludf.DUMMYFUNCTION("""COMPUTED_VALUE"""),"Sparringspartner*in Surveydesign und Datenerhebung")</f>
        <v>Sparringspartner*in Surveydesign und Datenerhebung</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7" t="s">
        <v>294</v>
      </c>
      <c r="B1" s="17" t="s">
        <v>295</v>
      </c>
      <c r="C1" s="17" t="s">
        <v>296</v>
      </c>
    </row>
    <row r="2">
      <c r="A2" s="17" t="s">
        <v>297</v>
      </c>
      <c r="B2" s="17" t="s">
        <v>298</v>
      </c>
      <c r="C2" s="17" t="s">
        <v>299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33.71"/>
    <col customWidth="1" min="3" max="6" width="43.0"/>
    <col customWidth="1" min="7" max="7" width="17.57"/>
    <col customWidth="1" min="8" max="8" width="20.86"/>
    <col customWidth="1" min="9" max="9" width="29.0"/>
    <col customWidth="1" min="10" max="10" width="15.71"/>
    <col customWidth="1" min="11" max="11" width="25.14"/>
    <col customWidth="1" min="12" max="26" width="8.71"/>
  </cols>
  <sheetData>
    <row r="1" ht="22.5" customHeight="1">
      <c r="A1" s="4" t="s">
        <v>71</v>
      </c>
      <c r="B1" s="4" t="s">
        <v>8</v>
      </c>
      <c r="C1" s="4" t="s">
        <v>9</v>
      </c>
      <c r="D1" s="4" t="s">
        <v>10</v>
      </c>
      <c r="E1" s="4" t="s">
        <v>72</v>
      </c>
      <c r="F1" s="4" t="s">
        <v>73</v>
      </c>
      <c r="G1" s="4" t="s">
        <v>74</v>
      </c>
      <c r="H1" s="4" t="s">
        <v>75</v>
      </c>
      <c r="I1" s="4" t="s">
        <v>76</v>
      </c>
      <c r="J1" s="4" t="s">
        <v>77</v>
      </c>
      <c r="K1" s="4" t="s">
        <v>78</v>
      </c>
    </row>
    <row r="2" ht="22.5" customHeight="1">
      <c r="A2" s="18" t="s">
        <v>300</v>
      </c>
      <c r="B2" s="18" t="s">
        <v>300</v>
      </c>
      <c r="G2" s="19"/>
      <c r="H2" s="19"/>
    </row>
    <row r="3" ht="22.5" customHeight="1">
      <c r="A3" s="18" t="s">
        <v>301</v>
      </c>
      <c r="B3" s="18" t="s">
        <v>301</v>
      </c>
      <c r="G3" s="19"/>
      <c r="H3" s="19"/>
    </row>
    <row r="4" ht="22.5" customHeight="1">
      <c r="A4" s="18" t="s">
        <v>96</v>
      </c>
      <c r="B4" s="18" t="s">
        <v>302</v>
      </c>
      <c r="C4" s="18" t="s">
        <v>303</v>
      </c>
      <c r="G4" s="18" t="s">
        <v>100</v>
      </c>
      <c r="H4" s="19"/>
    </row>
    <row r="5" ht="22.5" customHeight="1">
      <c r="A5" s="18" t="s">
        <v>304</v>
      </c>
      <c r="B5" s="18" t="s">
        <v>305</v>
      </c>
      <c r="C5" s="18" t="s">
        <v>303</v>
      </c>
      <c r="D5" s="18" t="s">
        <v>306</v>
      </c>
      <c r="E5" s="8" t="s">
        <v>307</v>
      </c>
      <c r="F5" s="8" t="s">
        <v>308</v>
      </c>
      <c r="G5" s="18" t="s">
        <v>100</v>
      </c>
      <c r="H5" s="19"/>
    </row>
    <row r="6" ht="22.5" customHeight="1">
      <c r="A6" s="18" t="s">
        <v>304</v>
      </c>
      <c r="B6" s="18" t="s">
        <v>309</v>
      </c>
      <c r="C6" s="18" t="s">
        <v>309</v>
      </c>
      <c r="D6" s="18" t="s">
        <v>309</v>
      </c>
      <c r="E6" s="8" t="s">
        <v>310</v>
      </c>
      <c r="F6" s="8" t="s">
        <v>311</v>
      </c>
      <c r="G6" s="18" t="s">
        <v>100</v>
      </c>
      <c r="H6" s="19"/>
    </row>
    <row r="7" ht="22.5" customHeight="1">
      <c r="A7" s="18" t="s">
        <v>140</v>
      </c>
      <c r="G7" s="19"/>
      <c r="H7" s="19"/>
    </row>
    <row r="8" ht="22.5" customHeight="1">
      <c r="A8" s="18" t="s">
        <v>312</v>
      </c>
      <c r="B8" s="18" t="s">
        <v>14</v>
      </c>
      <c r="C8" s="18" t="s">
        <v>313</v>
      </c>
      <c r="D8" s="18" t="s">
        <v>314</v>
      </c>
      <c r="G8" s="18" t="s">
        <v>79</v>
      </c>
      <c r="H8" s="19"/>
    </row>
    <row r="9" ht="15.75" customHeight="1">
      <c r="A9" s="18" t="str">
        <f>IFERROR(__xludf.DUMMYFUNCTION("QUERY(
  {Survey_Custom_Roles[[type]:[constraint_message]]; FILTER(Survey_Custom_Skills[[type]:[constraint_message]], Survey_Custom_Skills[include_in_survey] = TRUE); survey_end!A2:K946},
  ""select * where Col1 is not null"",
  0
)"),"select_multiple cl-role-2026-02-DTC")</f>
        <v>select_multiple cl-role-2026-02-DTC</v>
      </c>
      <c r="B9" s="18" t="str">
        <f>IFERROR(__xludf.DUMMYFUNCTION("""COMPUTED_VALUE"""),"project_role_2026-02-DTC")</f>
        <v>project_role_2026-02-DTC</v>
      </c>
      <c r="C9" s="18" t="str">
        <f>IFERROR(__xludf.DUMMYFUNCTION("""COMPUTED_VALUE"""),"In welcher Rolle siehst du dich im Projekt Dare2Care?")</f>
        <v>In welcher Rolle siehst du dich im Projekt Dare2Care?</v>
      </c>
      <c r="D9" s="18" t="str">
        <f>IFERROR(__xludf.DUMMYFUNCTION("""COMPUTED_VALUE"""),"Which role do you think you could fill in Dare2Care?")</f>
        <v>Which role do you think you could fill in Dare2Care?</v>
      </c>
      <c r="E9" s="18"/>
      <c r="F9" s="18"/>
      <c r="G9" s="18" t="str">
        <f>IFERROR(__xludf.DUMMYFUNCTION("""COMPUTED_VALUE"""),"true")</f>
        <v>true</v>
      </c>
      <c r="H9" s="19"/>
      <c r="I9" s="18" t="str">
        <f>IFERROR(__xludf.DUMMYFUNCTION("""COMPUTED_VALUE"""),"selected(${project_id}, '2026-02-DTC')")</f>
        <v>selected(${project_id}, '2026-02-DTC')</v>
      </c>
      <c r="J9" s="18"/>
      <c r="K9" s="18"/>
    </row>
    <row r="10" ht="15.75" customHeight="1">
      <c r="A10" s="18" t="str">
        <f>IFERROR(__xludf.DUMMYFUNCTION("""COMPUTED_VALUE"""),"begin_group")</f>
        <v>begin_group</v>
      </c>
      <c r="B10" s="18" t="str">
        <f>IFERROR(__xludf.DUMMYFUNCTION("""COMPUTED_VALUE"""),"group_lt58n55")</f>
        <v>group_lt58n55</v>
      </c>
      <c r="C10" s="18" t="str">
        <f>IFERROR(__xludf.DUMMYFUNCTION("""COMPUTED_VALUE"""),"Deine Fähigkeiten und Erfahrungen")</f>
        <v>Deine Fähigkeiten und Erfahrungen</v>
      </c>
      <c r="D10" s="18" t="str">
        <f>IFERROR(__xludf.DUMMYFUNCTION("""COMPUTED_VALUE"""),"Your skills and experiences")</f>
        <v>Your skills and experiences</v>
      </c>
      <c r="E10" s="18"/>
      <c r="F10" s="18"/>
      <c r="G10" s="18" t="str">
        <f>IFERROR(__xludf.DUMMYFUNCTION("""COMPUTED_VALUE"""),"false")</f>
        <v>false</v>
      </c>
      <c r="H10" s="18"/>
      <c r="I10" s="18"/>
      <c r="J10" s="18"/>
      <c r="K10" s="18"/>
    </row>
    <row r="11" ht="15.75" customHeight="1">
      <c r="A11" s="18" t="str">
        <f>IFERROR(__xludf.DUMMYFUNCTION("""COMPUTED_VALUE"""),"begin_group")</f>
        <v>begin_group</v>
      </c>
      <c r="B11" s="18" t="str">
        <f>IFERROR(__xludf.DUMMYFUNCTION("""COMPUTED_VALUE"""),"rating_technologies_tools")</f>
        <v>rating_technologies_tools</v>
      </c>
      <c r="C11" s="18" t="str">
        <f>IFERROR(__xludf.DUMMYFUNCTION("""COMPUTED_VALUE"""),"Tools")</f>
        <v>Tools</v>
      </c>
      <c r="D11" s="18" t="str">
        <f>IFERROR(__xludf.DUMMYFUNCTION("""COMPUTED_VALUE"""),"Tools")</f>
        <v>Tools</v>
      </c>
      <c r="E11" s="18"/>
      <c r="F11" s="18"/>
      <c r="G11" s="18" t="str">
        <f>IFERROR(__xludf.DUMMYFUNCTION("""COMPUTED_VALUE"""),"false")</f>
        <v>false</v>
      </c>
      <c r="H11" s="18"/>
      <c r="I11" s="18"/>
      <c r="J11" s="18"/>
      <c r="K11" s="18"/>
    </row>
    <row r="12" ht="15.75" customHeight="1">
      <c r="A12" s="18" t="str">
        <f>IFERROR(__xludf.DUMMYFUNCTION("""COMPUTED_VALUE"""),"select_one iy6st81")</f>
        <v>select_one iy6st81</v>
      </c>
      <c r="B12" s="18" t="str">
        <f>IFERROR(__xludf.DUMMYFUNCTION("""COMPUTED_VALUE"""),"rating_technologies_tools_header")</f>
        <v>rating_technologies_tools_header</v>
      </c>
      <c r="C12" s="18" t="str">
        <f>IFERROR(__xludf.DUMMYFUNCTION("""COMPUTED_VALUE"""),"Bitte bewerte Deine Erfahrung mit den folgenden Technologien und Tools:")</f>
        <v>Bitte bewerte Deine Erfahrung mit den folgenden Technologien und Tools:</v>
      </c>
      <c r="D12" s="18" t="str">
        <f>IFERROR(__xludf.DUMMYFUNCTION("""COMPUTED_VALUE"""),"Please rate your experience with the following technologies and tools:")</f>
        <v>Please rate your experience with the following technologies and tools:</v>
      </c>
      <c r="E12" s="18" t="str">
        <f>IFERROR(__xludf.DUMMYFUNCTION("""COMPUTED_VALUE"""),"Hier kannst du  mehr darüber lesen, wie wir die verschiedenen Erfahrungsstufen definieren: https://docs.correlaid.org/project-manual/data4good-projects#experience-scale")</f>
        <v>Hier kannst du  mehr darüber lesen, wie wir die verschiedenen Erfahrungsstufen definieren: https://docs.correlaid.org/project-manual/data4good-projects#experience-scale</v>
      </c>
      <c r="F12" s="18" t="str">
        <f>IFERROR(__xludf.DUMMYFUNCTION("""COMPUTED_VALUE"""),"Read more about what the different experience labels mean for us: https://docs.correlaid.org/project-manual/data4good-projects#experience-scale")</f>
        <v>Read more about what the different experience labels mean for us: https://docs.correlaid.org/project-manual/data4good-projects#experience-scale</v>
      </c>
      <c r="G12" s="18" t="str">
        <f>IFERROR(__xludf.DUMMYFUNCTION("""COMPUTED_VALUE"""),"false")</f>
        <v>false</v>
      </c>
      <c r="H12" s="18" t="str">
        <f>IFERROR(__xludf.DUMMYFUNCTION("""COMPUTED_VALUE"""),"label")</f>
        <v>label</v>
      </c>
      <c r="I12" s="18"/>
      <c r="J12" s="18"/>
      <c r="K12" s="18"/>
    </row>
    <row r="13" ht="15.75" customHeight="1">
      <c r="A13" s="18" t="str">
        <f>IFERROR(__xludf.DUMMYFUNCTION("""COMPUTED_VALUE"""),"select_one iy6st81")</f>
        <v>select_one iy6st81</v>
      </c>
      <c r="B13" s="18" t="str">
        <f>IFERROR(__xludf.DUMMYFUNCTION("""COMPUTED_VALUE"""),"sosci_survey")</f>
        <v>sosci_survey</v>
      </c>
      <c r="C13" s="18" t="str">
        <f>IFERROR(__xludf.DUMMYFUNCTION("""COMPUTED_VALUE"""),"SoSci Survey")</f>
        <v>SoSci Survey</v>
      </c>
      <c r="D13" s="18" t="str">
        <f>IFERROR(__xludf.DUMMYFUNCTION("""COMPUTED_VALUE"""),"SoSci Survey")</f>
        <v>SoSci Survey</v>
      </c>
      <c r="E13" s="18"/>
      <c r="F13" s="18"/>
      <c r="G13" s="18" t="str">
        <f>IFERROR(__xludf.DUMMYFUNCTION("""COMPUTED_VALUE"""),"true")</f>
        <v>true</v>
      </c>
      <c r="H13" s="18" t="str">
        <f>IFERROR(__xludf.DUMMYFUNCTION("""COMPUTED_VALUE"""),"list-nolabel")</f>
        <v>list-nolabel</v>
      </c>
      <c r="I13" s="18" t="str">
        <f>IFERROR(__xludf.DUMMYFUNCTION("""COMPUTED_VALUE"""),"selected(${project_role_2026-02-DTC}, 'role-surveydesign-datacollection')")</f>
        <v>selected(${project_role_2026-02-DTC}, 'role-surveydesign-datacollection')</v>
      </c>
      <c r="J13" s="18"/>
      <c r="K13" s="18"/>
    </row>
    <row r="14" ht="15.75" customHeight="1">
      <c r="A14" s="18" t="str">
        <f>IFERROR(__xludf.DUMMYFUNCTION("""COMPUTED_VALUE"""),"text")</f>
        <v>text</v>
      </c>
      <c r="B14" s="18" t="str">
        <f>IFERROR(__xludf.DUMMYFUNCTION("""COMPUTED_VALUE"""),"tools_other")</f>
        <v>tools_other</v>
      </c>
      <c r="C14" s="18" t="str">
        <f>IFERROR(__xludf.DUMMYFUNCTION("""COMPUTED_VALUE"""),"Andere relevante Tools")</f>
        <v>Andere relevante Tools</v>
      </c>
      <c r="D14" s="18" t="str">
        <f>IFERROR(__xludf.DUMMYFUNCTION("""COMPUTED_VALUE"""),"Other relevant tools")</f>
        <v>Other relevant tools</v>
      </c>
      <c r="E14" s="18" t="str">
        <f>IFERROR(__xludf.DUMMYFUNCTION("""COMPUTED_VALUE"""),"Bitte gib hier andere Tools an, die du kennst und die du für relevant erachtest.")</f>
        <v>Bitte gib hier andere Tools an, die du kennst und die du für relevant erachtest.</v>
      </c>
      <c r="F14" s="18" t="str">
        <f>IFERROR(__xludf.DUMMYFUNCTION("""COMPUTED_VALUE"""),"Please specifiy other tools you know that you consider relevant")</f>
        <v>Please specifiy other tools you know that you consider relevant</v>
      </c>
      <c r="G14" s="18" t="str">
        <f>IFERROR(__xludf.DUMMYFUNCTION("""COMPUTED_VALUE"""),"false")</f>
        <v>false</v>
      </c>
      <c r="H14" s="18" t="str">
        <f>IFERROR(__xludf.DUMMYFUNCTION("""COMPUTED_VALUE"""),"multiline")</f>
        <v>multiline</v>
      </c>
      <c r="I14" s="18"/>
      <c r="J14" s="18"/>
      <c r="K14" s="18"/>
    </row>
    <row r="15" ht="15.75" customHeight="1">
      <c r="A15" s="18" t="str">
        <f>IFERROR(__xludf.DUMMYFUNCTION("""COMPUTED_VALUE"""),"end_group")</f>
        <v>end_group</v>
      </c>
      <c r="B15" s="18"/>
      <c r="C15" s="18"/>
      <c r="D15" s="18"/>
      <c r="E15" s="18"/>
      <c r="F15" s="18"/>
      <c r="G15" s="18"/>
      <c r="H15" s="18"/>
      <c r="I15" s="18"/>
      <c r="J15" s="18"/>
      <c r="K15" s="18"/>
    </row>
    <row r="16" ht="15.75" customHeight="1">
      <c r="A16" s="18" t="str">
        <f>IFERROR(__xludf.DUMMYFUNCTION("""COMPUTED_VALUE"""),"begin_group")</f>
        <v>begin_group</v>
      </c>
      <c r="B16" s="18" t="str">
        <f>IFERROR(__xludf.DUMMYFUNCTION("""COMPUTED_VALUE"""),"rating_techniques")</f>
        <v>rating_techniques</v>
      </c>
      <c r="C16" s="18" t="str">
        <f>IFERROR(__xludf.DUMMYFUNCTION("""COMPUTED_VALUE"""),"Techniken")</f>
        <v>Techniken</v>
      </c>
      <c r="D16" s="18" t="str">
        <f>IFERROR(__xludf.DUMMYFUNCTION("""COMPUTED_VALUE"""),"Techniques")</f>
        <v>Techniques</v>
      </c>
      <c r="E16" s="18"/>
      <c r="F16" s="18"/>
      <c r="G16" s="18" t="str">
        <f>IFERROR(__xludf.DUMMYFUNCTION("""COMPUTED_VALUE"""),"false")</f>
        <v>false</v>
      </c>
      <c r="H16" s="18" t="str">
        <f>IFERROR(__xludf.DUMMYFUNCTION("""COMPUTED_VALUE"""),"field-list")</f>
        <v>field-list</v>
      </c>
      <c r="I16" s="18"/>
      <c r="J16" s="18"/>
      <c r="K16" s="18"/>
    </row>
    <row r="17" ht="15.75" customHeight="1">
      <c r="A17" s="18" t="str">
        <f>IFERROR(__xludf.DUMMYFUNCTION("""COMPUTED_VALUE"""),"select_one xe9mo32")</f>
        <v>select_one xe9mo32</v>
      </c>
      <c r="B17" s="18" t="str">
        <f>IFERROR(__xludf.DUMMYFUNCTION("""COMPUTED_VALUE"""),"rating_techniques_header")</f>
        <v>rating_techniques_header</v>
      </c>
      <c r="C17" s="18" t="str">
        <f>IFERROR(__xludf.DUMMYFUNCTION("""COMPUTED_VALUE"""),"Bitte bewerte Deine Erfahrung mit den folgenden Techniken.")</f>
        <v>Bitte bewerte Deine Erfahrung mit den folgenden Techniken.</v>
      </c>
      <c r="D17" s="18" t="str">
        <f>IFERROR(__xludf.DUMMYFUNCTION("""COMPUTED_VALUE"""),"Please rate your experience with the following techniques:")</f>
        <v>Please rate your experience with the following techniques:</v>
      </c>
      <c r="E17" s="18" t="str">
        <f>IFERROR(__xludf.DUMMYFUNCTION("""COMPUTED_VALUE"""),"Hier kannst du  mehr darüber lesen, wie wir die verschiedenen Erfahrungsstufen definieren: https://docs.correlaid.org/project-manual/data4good-projects#experience-scale")</f>
        <v>Hier kannst du  mehr darüber lesen, wie wir die verschiedenen Erfahrungsstufen definieren: https://docs.correlaid.org/project-manual/data4good-projects#experience-scale</v>
      </c>
      <c r="F17" s="18" t="str">
        <f>IFERROR(__xludf.DUMMYFUNCTION("""COMPUTED_VALUE"""),"Read more about what the different experience labels mean for us: https://docs.correlaid.org/project-manual/data4good-projects#experience-scale")</f>
        <v>Read more about what the different experience labels mean for us: https://docs.correlaid.org/project-manual/data4good-projects#experience-scale</v>
      </c>
      <c r="G17" s="18" t="str">
        <f>IFERROR(__xludf.DUMMYFUNCTION("""COMPUTED_VALUE"""),"false")</f>
        <v>false</v>
      </c>
      <c r="H17" s="18" t="str">
        <f>IFERROR(__xludf.DUMMYFUNCTION("""COMPUTED_VALUE"""),"label")</f>
        <v>label</v>
      </c>
      <c r="I17" s="18"/>
      <c r="J17" s="18"/>
      <c r="K17" s="18"/>
    </row>
    <row r="18" ht="15.75" customHeight="1">
      <c r="A18" s="18" t="str">
        <f>IFERROR(__xludf.DUMMYFUNCTION("""COMPUTED_VALUE"""),"select_one xe9mo32")</f>
        <v>select_one xe9mo32</v>
      </c>
      <c r="B18" s="18" t="str">
        <f>IFERROR(__xludf.DUMMYFUNCTION("""COMPUTED_VALUE"""),"survey_design")</f>
        <v>survey_design</v>
      </c>
      <c r="C18" s="18" t="str">
        <f>IFERROR(__xludf.DUMMYFUNCTION("""COMPUTED_VALUE"""),"Entwicklung von Fragebögen")</f>
        <v>Entwicklung von Fragebögen</v>
      </c>
      <c r="D18" s="18" t="str">
        <f>IFERROR(__xludf.DUMMYFUNCTION("""COMPUTED_VALUE"""),"Survey design")</f>
        <v>Survey design</v>
      </c>
      <c r="E18" s="18"/>
      <c r="F18" s="18"/>
      <c r="G18" s="18" t="str">
        <f>IFERROR(__xludf.DUMMYFUNCTION("""COMPUTED_VALUE"""),"true")</f>
        <v>true</v>
      </c>
      <c r="H18" s="18" t="str">
        <f>IFERROR(__xludf.DUMMYFUNCTION("""COMPUTED_VALUE"""),"list-nolabel")</f>
        <v>list-nolabel</v>
      </c>
      <c r="I18" s="18" t="str">
        <f>IFERROR(__xludf.DUMMYFUNCTION("""COMPUTED_VALUE"""),"selected(${project_role_2026-02-DTC}, 'role-surveydesign-datacollection')")</f>
        <v>selected(${project_role_2026-02-DTC}, 'role-surveydesign-datacollection')</v>
      </c>
      <c r="J18" s="18"/>
      <c r="K18" s="18"/>
    </row>
    <row r="19" ht="15.75" customHeight="1">
      <c r="A19" s="18" t="str">
        <f>IFERROR(__xludf.DUMMYFUNCTION("""COMPUTED_VALUE"""),"select_one xe9mo32")</f>
        <v>select_one xe9mo32</v>
      </c>
      <c r="B19" s="18" t="str">
        <f>IFERROR(__xludf.DUMMYFUNCTION("""COMPUTED_VALUE"""),"indicator_development")</f>
        <v>indicator_development</v>
      </c>
      <c r="C19" s="18" t="str">
        <f>IFERROR(__xludf.DUMMYFUNCTION("""COMPUTED_VALUE"""),"Entwicklung von Indikatoren")</f>
        <v>Entwicklung von Indikatoren</v>
      </c>
      <c r="D19" s="18" t="str">
        <f>IFERROR(__xludf.DUMMYFUNCTION("""COMPUTED_VALUE"""),"Development of indicators")</f>
        <v>Development of indicators</v>
      </c>
      <c r="E19" s="18"/>
      <c r="F19" s="18"/>
      <c r="G19" s="18" t="str">
        <f>IFERROR(__xludf.DUMMYFUNCTION("""COMPUTED_VALUE"""),"true")</f>
        <v>true</v>
      </c>
      <c r="H19" s="18" t="str">
        <f>IFERROR(__xludf.DUMMYFUNCTION("""COMPUTED_VALUE"""),"list-nolabel")</f>
        <v>list-nolabel</v>
      </c>
      <c r="I19" s="18" t="str">
        <f>IFERROR(__xludf.DUMMYFUNCTION("""COMPUTED_VALUE"""),"selected(${project_role_2026-02-DTC}, 'role-surveydesign-datacollection')")</f>
        <v>selected(${project_role_2026-02-DTC}, 'role-surveydesign-datacollection')</v>
      </c>
      <c r="J19" s="18"/>
      <c r="K19" s="18"/>
    </row>
    <row r="20" ht="15.75" customHeight="1">
      <c r="A20" s="18" t="str">
        <f>IFERROR(__xludf.DUMMYFUNCTION("""COMPUTED_VALUE"""),"select_one xe9mo32")</f>
        <v>select_one xe9mo32</v>
      </c>
      <c r="B20" s="18" t="str">
        <f>IFERROR(__xludf.DUMMYFUNCTION("""COMPUTED_VALUE"""),"data_collection")</f>
        <v>data_collection</v>
      </c>
      <c r="C20" s="18" t="str">
        <f>IFERROR(__xludf.DUMMYFUNCTION("""COMPUTED_VALUE"""),"Datenerhebung")</f>
        <v>Datenerhebung</v>
      </c>
      <c r="D20" s="18" t="str">
        <f>IFERROR(__xludf.DUMMYFUNCTION("""COMPUTED_VALUE"""),"Data collection")</f>
        <v>Data collection</v>
      </c>
      <c r="E20" s="18"/>
      <c r="F20" s="18"/>
      <c r="G20" s="18" t="str">
        <f>IFERROR(__xludf.DUMMYFUNCTION("""COMPUTED_VALUE"""),"true")</f>
        <v>true</v>
      </c>
      <c r="H20" s="18" t="str">
        <f>IFERROR(__xludf.DUMMYFUNCTION("""COMPUTED_VALUE"""),"list-nolabel")</f>
        <v>list-nolabel</v>
      </c>
      <c r="I20" s="18" t="str">
        <f>IFERROR(__xludf.DUMMYFUNCTION("""COMPUTED_VALUE"""),"selected(${project_role_2026-02-DTC}, 'role-surveydesign-datacollection')")</f>
        <v>selected(${project_role_2026-02-DTC}, 'role-surveydesign-datacollection')</v>
      </c>
      <c r="J20" s="18"/>
      <c r="K20" s="18"/>
    </row>
    <row r="21" ht="15.75" customHeight="1">
      <c r="A21" s="18" t="str">
        <f>IFERROR(__xludf.DUMMYFUNCTION("""COMPUTED_VALUE"""),"end_group")</f>
        <v>end_group</v>
      </c>
      <c r="B21" s="18"/>
      <c r="C21" s="18"/>
      <c r="D21" s="18"/>
      <c r="E21" s="18"/>
      <c r="F21" s="18"/>
      <c r="G21" s="18"/>
      <c r="H21" s="18"/>
      <c r="I21" s="18"/>
      <c r="J21" s="18"/>
      <c r="K21" s="18"/>
    </row>
    <row r="22" ht="15.75" customHeight="1">
      <c r="A22" s="18" t="str">
        <f>IFERROR(__xludf.DUMMYFUNCTION("""COMPUTED_VALUE"""),"begin_group")</f>
        <v>begin_group</v>
      </c>
      <c r="B22" s="18" t="str">
        <f>IFERROR(__xludf.DUMMYFUNCTION("""COMPUTED_VALUE"""),"rating_topics")</f>
        <v>rating_topics</v>
      </c>
      <c r="C22" s="18" t="str">
        <f>IFERROR(__xludf.DUMMYFUNCTION("""COMPUTED_VALUE"""),"Themen")</f>
        <v>Themen</v>
      </c>
      <c r="D22" s="18" t="str">
        <f>IFERROR(__xludf.DUMMYFUNCTION("""COMPUTED_VALUE"""),"Topics")</f>
        <v>Topics</v>
      </c>
      <c r="E22" s="18"/>
      <c r="F22" s="18"/>
      <c r="G22" s="18" t="str">
        <f>IFERROR(__xludf.DUMMYFUNCTION("""COMPUTED_VALUE"""),"false")</f>
        <v>false</v>
      </c>
      <c r="H22" s="18" t="str">
        <f>IFERROR(__xludf.DUMMYFUNCTION("""COMPUTED_VALUE"""),"field-list")</f>
        <v>field-list</v>
      </c>
      <c r="I22" s="18"/>
      <c r="J22" s="18"/>
      <c r="K22" s="18"/>
    </row>
    <row r="23" ht="15.75" customHeight="1">
      <c r="A23" s="18" t="str">
        <f>IFERROR(__xludf.DUMMYFUNCTION("""COMPUTED_VALUE"""),"select_one dm1uu76")</f>
        <v>select_one dm1uu76</v>
      </c>
      <c r="B23" s="18" t="str">
        <f>IFERROR(__xludf.DUMMYFUNCTION("""COMPUTED_VALUE"""),"rating_topics_header")</f>
        <v>rating_topics_header</v>
      </c>
      <c r="C23" s="18" t="str">
        <f>IFERROR(__xludf.DUMMYFUNCTION("""COMPUTED_VALUE"""),"Bitte bewerte Deine Erfahrung mit den folgenden Themen:")</f>
        <v>Bitte bewerte Deine Erfahrung mit den folgenden Themen:</v>
      </c>
      <c r="D23" s="18" t="str">
        <f>IFERROR(__xludf.DUMMYFUNCTION("""COMPUTED_VALUE"""),"Please rate your experience with the following topics:")</f>
        <v>Please rate your experience with the following topics:</v>
      </c>
      <c r="E23" s="18" t="str">
        <f>IFERROR(__xludf.DUMMYFUNCTION("""COMPUTED_VALUE"""),"Hier kannst du  mehr darüber lesen, wie wir die verschiedenen Erfahrungsstufen definieren: https://docs.correlaid.org/project-manual/data4good-projects#experience-scale")</f>
        <v>Hier kannst du  mehr darüber lesen, wie wir die verschiedenen Erfahrungsstufen definieren: https://docs.correlaid.org/project-manual/data4good-projects#experience-scale</v>
      </c>
      <c r="F23" s="18" t="str">
        <f>IFERROR(__xludf.DUMMYFUNCTION("""COMPUTED_VALUE"""),"Read more about what the different experience labels mean for us: https://docs.correlaid.org/project-manual/data4good-projects#experience-scale")</f>
        <v>Read more about what the different experience labels mean for us: https://docs.correlaid.org/project-manual/data4good-projects#experience-scale</v>
      </c>
      <c r="G23" s="18" t="str">
        <f>IFERROR(__xludf.DUMMYFUNCTION("""COMPUTED_VALUE"""),"false")</f>
        <v>false</v>
      </c>
      <c r="H23" s="18" t="str">
        <f>IFERROR(__xludf.DUMMYFUNCTION("""COMPUTED_VALUE"""),"label")</f>
        <v>label</v>
      </c>
      <c r="I23" s="18"/>
      <c r="J23" s="18"/>
      <c r="K23" s="18"/>
    </row>
    <row r="24" ht="15.75" customHeight="1">
      <c r="A24" s="18" t="str">
        <f>IFERROR(__xludf.DUMMYFUNCTION("""COMPUTED_VALUE"""),"select_one dm1uu76")</f>
        <v>select_one dm1uu76</v>
      </c>
      <c r="B24" s="18" t="str">
        <f>IFERROR(__xludf.DUMMYFUNCTION("""COMPUTED_VALUE"""),"wirkungsmessung")</f>
        <v>wirkungsmessung</v>
      </c>
      <c r="C24" s="18" t="str">
        <f>IFERROR(__xludf.DUMMYFUNCTION("""COMPUTED_VALUE"""),"Wirkungsmessung")</f>
        <v>Wirkungsmessung</v>
      </c>
      <c r="D24" s="18" t="str">
        <f>IFERROR(__xludf.DUMMYFUNCTION("""COMPUTED_VALUE"""),"Impact Measurement")</f>
        <v>Impact Measurement</v>
      </c>
      <c r="E24" s="18"/>
      <c r="F24" s="18"/>
      <c r="G24" s="18" t="str">
        <f>IFERROR(__xludf.DUMMYFUNCTION("""COMPUTED_VALUE"""),"true")</f>
        <v>true</v>
      </c>
      <c r="H24" s="18" t="str">
        <f>IFERROR(__xludf.DUMMYFUNCTION("""COMPUTED_VALUE"""),"list-nolabel")</f>
        <v>list-nolabel</v>
      </c>
      <c r="I24" s="18" t="str">
        <f>IFERROR(__xludf.DUMMYFUNCTION("""COMPUTED_VALUE"""),"selected(${project_role_2026-02-DTC}, 'role-surveydesign-datacollection')")</f>
        <v>selected(${project_role_2026-02-DTC}, 'role-surveydesign-datacollection')</v>
      </c>
      <c r="J24" s="18"/>
      <c r="K24" s="18"/>
    </row>
    <row r="25" ht="15.75" customHeight="1">
      <c r="A25" s="18" t="str">
        <f>IFERROR(__xludf.DUMMYFUNCTION("""COMPUTED_VALUE"""),"select_one dm1uu76")</f>
        <v>select_one dm1uu76</v>
      </c>
      <c r="B25" s="18" t="str">
        <f>IFERROR(__xludf.DUMMYFUNCTION("""COMPUTED_VALUE"""),"research_design")</f>
        <v>research_design</v>
      </c>
      <c r="C25" s="18" t="str">
        <f>IFERROR(__xludf.DUMMYFUNCTION("""COMPUTED_VALUE"""),"Research Design")</f>
        <v>Research Design</v>
      </c>
      <c r="D25" s="18" t="str">
        <f>IFERROR(__xludf.DUMMYFUNCTION("""COMPUTED_VALUE"""),"Research Design")</f>
        <v>Research Design</v>
      </c>
      <c r="E25" s="18"/>
      <c r="F25" s="18"/>
      <c r="G25" s="18" t="str">
        <f>IFERROR(__xludf.DUMMYFUNCTION("""COMPUTED_VALUE"""),"true")</f>
        <v>true</v>
      </c>
      <c r="H25" s="18" t="str">
        <f>IFERROR(__xludf.DUMMYFUNCTION("""COMPUTED_VALUE"""),"list-nolabel")</f>
        <v>list-nolabel</v>
      </c>
      <c r="I25" s="18" t="str">
        <f>IFERROR(__xludf.DUMMYFUNCTION("""COMPUTED_VALUE"""),"selected(${project_role_2026-02-DTC}, 'role-surveydesign-datacollection')")</f>
        <v>selected(${project_role_2026-02-DTC}, 'role-surveydesign-datacollection')</v>
      </c>
      <c r="J25" s="18"/>
      <c r="K25" s="18"/>
    </row>
    <row r="26" ht="15.75" customHeight="1">
      <c r="A26" s="18" t="str">
        <f>IFERROR(__xludf.DUMMYFUNCTION("""COMPUTED_VALUE"""),"select_one dm1uu76")</f>
        <v>select_one dm1uu76</v>
      </c>
      <c r="B26" s="18" t="str">
        <f>IFERROR(__xludf.DUMMYFUNCTION("""COMPUTED_VALUE"""),"survey_research")</f>
        <v>survey_research</v>
      </c>
      <c r="C26" s="18" t="str">
        <f>IFERROR(__xludf.DUMMYFUNCTION("""COMPUTED_VALUE"""),"Umfrageforschung")</f>
        <v>Umfrageforschung</v>
      </c>
      <c r="D26" s="18" t="str">
        <f>IFERROR(__xludf.DUMMYFUNCTION("""COMPUTED_VALUE"""),"Survey Research")</f>
        <v>Survey Research</v>
      </c>
      <c r="E26" s="18"/>
      <c r="F26" s="18"/>
      <c r="G26" s="18" t="str">
        <f>IFERROR(__xludf.DUMMYFUNCTION("""COMPUTED_VALUE"""),"true")</f>
        <v>true</v>
      </c>
      <c r="H26" s="18" t="str">
        <f>IFERROR(__xludf.DUMMYFUNCTION("""COMPUTED_VALUE"""),"list-nolabel")</f>
        <v>list-nolabel</v>
      </c>
      <c r="I26" s="18" t="str">
        <f>IFERROR(__xludf.DUMMYFUNCTION("""COMPUTED_VALUE"""),"selected(${project_role_2026-02-DTC}, 'role-surveydesign-datacollection')")</f>
        <v>selected(${project_role_2026-02-DTC}, 'role-surveydesign-datacollection')</v>
      </c>
      <c r="J26" s="18"/>
      <c r="K26" s="18"/>
    </row>
    <row r="27" ht="15.75" customHeight="1">
      <c r="A27" s="18" t="str">
        <f>IFERROR(__xludf.DUMMYFUNCTION("""COMPUTED_VALUE"""),"select_one dm1uu76")</f>
        <v>select_one dm1uu76</v>
      </c>
      <c r="B27" s="18" t="str">
        <f>IFERROR(__xludf.DUMMYFUNCTION("""COMPUTED_VALUE"""),"data_protection")</f>
        <v>data_protection</v>
      </c>
      <c r="C27" s="18" t="str">
        <f>IFERROR(__xludf.DUMMYFUNCTION("""COMPUTED_VALUE"""),"Datenschutz")</f>
        <v>Datenschutz</v>
      </c>
      <c r="D27" s="18" t="str">
        <f>IFERROR(__xludf.DUMMYFUNCTION("""COMPUTED_VALUE"""),"Data protection")</f>
        <v>Data protection</v>
      </c>
      <c r="E27" s="18"/>
      <c r="F27" s="18"/>
      <c r="G27" s="18" t="str">
        <f>IFERROR(__xludf.DUMMYFUNCTION("""COMPUTED_VALUE"""),"true")</f>
        <v>true</v>
      </c>
      <c r="H27" s="18" t="str">
        <f>IFERROR(__xludf.DUMMYFUNCTION("""COMPUTED_VALUE"""),"list-nolabel")</f>
        <v>list-nolabel</v>
      </c>
      <c r="I27" s="18" t="str">
        <f>IFERROR(__xludf.DUMMYFUNCTION("""COMPUTED_VALUE"""),"selected(${project_role_2026-02-DTC}, 'role-surveydesign-datacollection')")</f>
        <v>selected(${project_role_2026-02-DTC}, 'role-surveydesign-datacollection')</v>
      </c>
      <c r="J27" s="18"/>
      <c r="K27" s="18"/>
    </row>
    <row r="28" ht="15.75" customHeight="1">
      <c r="A28" s="18" t="str">
        <f>IFERROR(__xludf.DUMMYFUNCTION("""COMPUTED_VALUE"""),"select_one dm1uu76")</f>
        <v>select_one dm1uu76</v>
      </c>
      <c r="B28" s="18" t="str">
        <f>IFERROR(__xludf.DUMMYFUNCTION("""COMPUTED_VALUE"""),"resilience_mental_health")</f>
        <v>resilience_mental_health</v>
      </c>
      <c r="C28" s="18" t="str">
        <f>IFERROR(__xludf.DUMMYFUNCTION("""COMPUTED_VALUE"""),"Resilienz und Mentale Gesundheit")</f>
        <v>Resilienz und Mentale Gesundheit</v>
      </c>
      <c r="D28" s="18" t="str">
        <f>IFERROR(__xludf.DUMMYFUNCTION("""COMPUTED_VALUE"""),"Resilience and mental health")</f>
        <v>Resilience and mental health</v>
      </c>
      <c r="E28" s="18"/>
      <c r="F28" s="18"/>
      <c r="G28" s="18" t="str">
        <f>IFERROR(__xludf.DUMMYFUNCTION("""COMPUTED_VALUE"""),"true")</f>
        <v>true</v>
      </c>
      <c r="H28" s="18" t="str">
        <f>IFERROR(__xludf.DUMMYFUNCTION("""COMPUTED_VALUE"""),"list-nolabel")</f>
        <v>list-nolabel</v>
      </c>
      <c r="I28" s="18" t="str">
        <f>IFERROR(__xludf.DUMMYFUNCTION("""COMPUTED_VALUE"""),"selected(${project_role_2026-02-DTC}, 'role-surveydesign-datacollection')")</f>
        <v>selected(${project_role_2026-02-DTC}, 'role-surveydesign-datacollection')</v>
      </c>
      <c r="J28" s="18"/>
      <c r="K28" s="18"/>
    </row>
    <row r="29" ht="15.75" customHeight="1">
      <c r="A29" s="18" t="str">
        <f>IFERROR(__xludf.DUMMYFUNCTION("""COMPUTED_VALUE"""),"select_one dm1uu76")</f>
        <v>select_one dm1uu76</v>
      </c>
      <c r="B29" s="18" t="str">
        <f>IFERROR(__xludf.DUMMYFUNCTION("""COMPUTED_VALUE"""),"education_research")</f>
        <v>education_research</v>
      </c>
      <c r="C29" s="18" t="str">
        <f>IFERROR(__xludf.DUMMYFUNCTION("""COMPUTED_VALUE"""),"Bildungsforschung o.ä.")</f>
        <v>Bildungsforschung o.ä.</v>
      </c>
      <c r="D29" s="18" t="str">
        <f>IFERROR(__xludf.DUMMYFUNCTION("""COMPUTED_VALUE"""),"Education research (or similar)")</f>
        <v>Education research (or similar)</v>
      </c>
      <c r="E29" s="18"/>
      <c r="F29" s="18"/>
      <c r="G29" s="18" t="str">
        <f>IFERROR(__xludf.DUMMYFUNCTION("""COMPUTED_VALUE"""),"true")</f>
        <v>true</v>
      </c>
      <c r="H29" s="18" t="str">
        <f>IFERROR(__xludf.DUMMYFUNCTION("""COMPUTED_VALUE"""),"list-nolabel")</f>
        <v>list-nolabel</v>
      </c>
      <c r="I29" s="18" t="str">
        <f>IFERROR(__xludf.DUMMYFUNCTION("""COMPUTED_VALUE"""),"selected(${project_role_2026-02-DTC}, 'role-surveydesign-datacollection')")</f>
        <v>selected(${project_role_2026-02-DTC}, 'role-surveydesign-datacollection')</v>
      </c>
      <c r="J29" s="18"/>
      <c r="K29" s="18"/>
    </row>
    <row r="30" ht="15.75" customHeight="1">
      <c r="A30" s="18" t="str">
        <f>IFERROR(__xludf.DUMMYFUNCTION("""COMPUTED_VALUE"""),"end_group")</f>
        <v>end_group</v>
      </c>
      <c r="B30" s="18"/>
      <c r="C30" s="18"/>
      <c r="D30" s="18"/>
      <c r="E30" s="18"/>
      <c r="F30" s="18"/>
      <c r="G30" s="18"/>
      <c r="H30" s="18"/>
      <c r="I30" s="18"/>
      <c r="J30" s="18"/>
      <c r="K30" s="18"/>
    </row>
    <row r="31" ht="15.75" customHeight="1">
      <c r="A31" s="18" t="str">
        <f>IFERROR(__xludf.DUMMYFUNCTION("""COMPUTED_VALUE"""),"begin_group")</f>
        <v>begin_group</v>
      </c>
      <c r="B31" s="18" t="str">
        <f>IFERROR(__xludf.DUMMYFUNCTION("""COMPUTED_VALUE"""),"group_pr7pr34")</f>
        <v>group_pr7pr34</v>
      </c>
      <c r="C31" s="18" t="str">
        <f>IFERROR(__xludf.DUMMYFUNCTION("""COMPUTED_VALUE"""),"Du und das Projekt")</f>
        <v>Du und das Projekt</v>
      </c>
      <c r="D31" s="18" t="str">
        <f>IFERROR(__xludf.DUMMYFUNCTION("""COMPUTED_VALUE"""),"You and the project")</f>
        <v>You and the project</v>
      </c>
      <c r="E31" s="18"/>
      <c r="F31" s="18"/>
      <c r="G31" s="18" t="str">
        <f>IFERROR(__xludf.DUMMYFUNCTION("""COMPUTED_VALUE"""),"false")</f>
        <v>false</v>
      </c>
      <c r="H31" s="18"/>
      <c r="I31" s="18"/>
      <c r="J31" s="18"/>
      <c r="K31" s="18"/>
    </row>
    <row r="32" ht="15.75" customHeight="1">
      <c r="A32" s="18" t="str">
        <f>IFERROR(__xludf.DUMMYFUNCTION("""COMPUTED_VALUE"""),"text")</f>
        <v>text</v>
      </c>
      <c r="B32" s="18" t="str">
        <f>IFERROR(__xludf.DUMMYFUNCTION("""COMPUTED_VALUE"""),"motivation_skills")</f>
        <v>motivation_skills</v>
      </c>
      <c r="C32" s="18" t="str">
        <f>IFERROR(__xludf.DUMMYFUNCTION("""COMPUTED_VALUE"""),"Bitte beschreibe hier, welche Deiner Fähigkeiten und Erfahrungen Dich besonders für die Teilnahme an diesem Projekt qualifizieren.")</f>
        <v>Bitte beschreibe hier, welche Deiner Fähigkeiten und Erfahrungen Dich besonders für die Teilnahme an diesem Projekt qualifizieren.</v>
      </c>
      <c r="D32" s="18" t="str">
        <f>IFERROR(__xludf.DUMMYFUNCTION("""COMPUTED_VALUE"""),"Please describe here what skills and experiences you would bring to the project.")</f>
        <v>Please describe here what skills and experiences you would bring to the project.</v>
      </c>
      <c r="E32" s="18" t="str">
        <f>IFERROR(__xludf.DUMMYFUNCTION("""COMPUTED_VALUE"""),"Bitte schreibe maximal 5 Sätze pro Projekt, auf das du dich bewerben möchtest.")</f>
        <v>Bitte schreibe maximal 5 Sätze pro Projekt, auf das du dich bewerben möchtest.</v>
      </c>
      <c r="F32" s="18" t="str">
        <f>IFERROR(__xludf.DUMMYFUNCTION("""COMPUTED_VALUE"""),"Please write maximum 5 sentences per project that you are applying to.")</f>
        <v>Please write maximum 5 sentences per project that you are applying to.</v>
      </c>
      <c r="G32" s="18" t="str">
        <f>IFERROR(__xludf.DUMMYFUNCTION("""COMPUTED_VALUE"""),"true")</f>
        <v>true</v>
      </c>
      <c r="H32" s="18" t="str">
        <f>IFERROR(__xludf.DUMMYFUNCTION("""COMPUTED_VALUE"""),"multiline")</f>
        <v>multiline</v>
      </c>
      <c r="I32" s="18"/>
      <c r="J32" s="18"/>
      <c r="K32" s="18"/>
    </row>
    <row r="33" ht="15.75" customHeight="1">
      <c r="A33" s="18" t="str">
        <f>IFERROR(__xludf.DUMMYFUNCTION("""COMPUTED_VALUE"""),"text")</f>
        <v>text</v>
      </c>
      <c r="B33" s="18" t="str">
        <f>IFERROR(__xludf.DUMMYFUNCTION("""COMPUTED_VALUE"""),"motivation_why")</f>
        <v>motivation_why</v>
      </c>
      <c r="C33" s="18" t="str">
        <f>IFERROR(__xludf.DUMMYFUNCTION("""COMPUTED_VALUE"""),"Bitte beschreibe hier, warum Du Dich für dieses Projekt engagieren möchtest.")</f>
        <v>Bitte beschreibe hier, warum Du Dich für dieses Projekt engagieren möchtest.</v>
      </c>
      <c r="D33" s="18" t="str">
        <f>IFERROR(__xludf.DUMMYFUNCTION("""COMPUTED_VALUE"""),"Please describe here why you want to get involved in this project.")</f>
        <v>Please describe here why you want to get involved in this project.</v>
      </c>
      <c r="E33" s="18" t="str">
        <f>IFERROR(__xludf.DUMMYFUNCTION("""COMPUTED_VALUE"""),"Bitte schreibe maximal 5 Sätze pro Projekt, auf das du dich bewerben möchtest.")</f>
        <v>Bitte schreibe maximal 5 Sätze pro Projekt, auf das du dich bewerben möchtest.</v>
      </c>
      <c r="F33" s="18" t="str">
        <f>IFERROR(__xludf.DUMMYFUNCTION("""COMPUTED_VALUE"""),"Please write maximum 5 sentences per project that you are applying to.")</f>
        <v>Please write maximum 5 sentences per project that you are applying to.</v>
      </c>
      <c r="G33" s="18" t="str">
        <f>IFERROR(__xludf.DUMMYFUNCTION("""COMPUTED_VALUE"""),"true")</f>
        <v>true</v>
      </c>
      <c r="H33" s="18" t="str">
        <f>IFERROR(__xludf.DUMMYFUNCTION("""COMPUTED_VALUE"""),"multiline")</f>
        <v>multiline</v>
      </c>
      <c r="I33" s="18"/>
      <c r="J33" s="18"/>
      <c r="K33" s="18"/>
    </row>
    <row r="34" ht="15.75" customHeight="1">
      <c r="A34" s="18" t="str">
        <f>IFERROR(__xludf.DUMMYFUNCTION("""COMPUTED_VALUE"""),"select_one il2wc73")</f>
        <v>select_one il2wc73</v>
      </c>
      <c r="B34" s="18" t="str">
        <f>IFERROR(__xludf.DUMMYFUNCTION("""COMPUTED_VALUE"""),"past_applications")</f>
        <v>past_applications</v>
      </c>
      <c r="C34" s="18" t="str">
        <f>IFERROR(__xludf.DUMMYFUNCTION("""COMPUTED_VALUE"""),"Hast du dich in der Vergangenheit bereits auf CorrelAid-Projekte beworben?")</f>
        <v>Hast du dich in der Vergangenheit bereits auf CorrelAid-Projekte beworben?</v>
      </c>
      <c r="D34" s="18" t="str">
        <f>IFERROR(__xludf.DUMMYFUNCTION("""COMPUTED_VALUE"""),"Have you applied to a CorrelAid project in the past?")</f>
        <v>Have you applied to a CorrelAid project in the past?</v>
      </c>
      <c r="E34" s="18" t="str">
        <f>IFERROR(__xludf.DUMMYFUNCTION("""COMPUTED_VALUE"""),"Um möglichst vielen Personen die Gelegenheit zu geben, an unseren Projekten teilzunehmen, werden Bewerbungen von bisher unerfolgreichen Personen bei gleicher Eignung bevorzugt behandelt.")</f>
        <v>Um möglichst vielen Personen die Gelegenheit zu geben, an unseren Projekten teilzunehmen, werden Bewerbungen von bisher unerfolgreichen Personen bei gleicher Eignung bevorzugt behandelt.</v>
      </c>
      <c r="F34" s="18" t="str">
        <f>IFERROR(__xludf.DUMMYFUNCTION("""COMPUTED_VALUE"""),"In order to give as many people as possible the opportunity to participate in one of our projects, applications of individuals who have unsuccessfully applied in the past are preferred given equal suitability for the project.")</f>
        <v>In order to give as many people as possible the opportunity to participate in one of our projects, applications of individuals who have unsuccessfully applied in the past are preferred given equal suitability for the project.</v>
      </c>
      <c r="G34" s="18" t="str">
        <f>IFERROR(__xludf.DUMMYFUNCTION("""COMPUTED_VALUE"""),"true")</f>
        <v>true</v>
      </c>
      <c r="H34" s="18"/>
      <c r="I34" s="18"/>
      <c r="J34" s="18"/>
      <c r="K34" s="18"/>
    </row>
    <row r="35" ht="15.75" customHeight="1">
      <c r="A35" s="18" t="str">
        <f>IFERROR(__xludf.DUMMYFUNCTION("""COMPUTED_VALUE"""),"text")</f>
        <v>text</v>
      </c>
      <c r="B35" s="18" t="str">
        <f>IFERROR(__xludf.DUMMYFUNCTION("""COMPUTED_VALUE"""),"past_applications_details")</f>
        <v>past_applications_details</v>
      </c>
      <c r="C35" s="18" t="str">
        <f>IFERROR(__xludf.DUMMYFUNCTION("""COMPUTED_VALUE"""),"Bitte gib hier an, für welche Projekte du dich beworben hast, falls du dich noch erinnern kannst.")</f>
        <v>Bitte gib hier an, für welche Projekte du dich beworben hast, falls du dich noch erinnern kannst.</v>
      </c>
      <c r="D35" s="18" t="str">
        <f>IFERROR(__xludf.DUMMYFUNCTION("""COMPUTED_VALUE"""),"If you can remember, please specify which project(s) you have applied for.")</f>
        <v>If you can remember, please specify which project(s) you have applied for.</v>
      </c>
      <c r="E35" s="18" t="str">
        <f>IFERROR(__xludf.DUMMYFUNCTION("""COMPUTED_VALUE"""),"Grobe Angaben helfen uns auch schon weiter.")</f>
        <v>Grobe Angaben helfen uns auch schon weiter.</v>
      </c>
      <c r="F35" s="18" t="str">
        <f>IFERROR(__xludf.DUMMYFUNCTION("""COMPUTED_VALUE"""),"Any information is helpful to us.")</f>
        <v>Any information is helpful to us.</v>
      </c>
      <c r="G35" s="18" t="str">
        <f>IFERROR(__xludf.DUMMYFUNCTION("""COMPUTED_VALUE"""),"false")</f>
        <v>false</v>
      </c>
      <c r="H35" s="18"/>
      <c r="I35" s="18" t="str">
        <f>IFERROR(__xludf.DUMMYFUNCTION("""COMPUTED_VALUE"""),"${past_applications} = 'not_successful'")</f>
        <v>${past_applications} = 'not_successful'</v>
      </c>
      <c r="J35" s="18"/>
      <c r="K35" s="18"/>
    </row>
    <row r="36" ht="15.75" customHeight="1">
      <c r="A36" s="18" t="str">
        <f>IFERROR(__xludf.DUMMYFUNCTION("""COMPUTED_VALUE"""),"end_group")</f>
        <v>end_group</v>
      </c>
      <c r="B36" s="18"/>
      <c r="C36" s="18"/>
      <c r="D36" s="18"/>
      <c r="E36" s="18"/>
      <c r="F36" s="18"/>
      <c r="G36" s="18"/>
      <c r="H36" s="18"/>
      <c r="I36" s="18"/>
      <c r="J36" s="18"/>
      <c r="K36" s="18"/>
    </row>
    <row r="37" ht="15.75" customHeight="1">
      <c r="A37" s="18" t="str">
        <f>IFERROR(__xludf.DUMMYFUNCTION("""COMPUTED_VALUE"""),"end_group")</f>
        <v>end_group</v>
      </c>
      <c r="B37" s="18"/>
      <c r="C37" s="18"/>
      <c r="D37" s="18"/>
      <c r="E37" s="18"/>
      <c r="F37" s="18"/>
      <c r="G37" s="18"/>
      <c r="H37" s="18"/>
      <c r="I37" s="18"/>
      <c r="J37" s="18"/>
      <c r="K37" s="18"/>
    </row>
    <row r="38" ht="15.75" customHeight="1">
      <c r="A38" s="18" t="str">
        <f>IFERROR(__xludf.DUMMYFUNCTION("""COMPUTED_VALUE"""),"begin_group")</f>
        <v>begin_group</v>
      </c>
      <c r="B38" s="18" t="str">
        <f>IFERROR(__xludf.DUMMYFUNCTION("""COMPUTED_VALUE"""),"demographics")</f>
        <v>demographics</v>
      </c>
      <c r="C38" s="18" t="str">
        <f>IFERROR(__xludf.DUMMYFUNCTION("""COMPUTED_VALUE"""),"Über dich")</f>
        <v>Über dich</v>
      </c>
      <c r="D38" s="18" t="str">
        <f>IFERROR(__xludf.DUMMYFUNCTION("""COMPUTED_VALUE"""),"About you")</f>
        <v>About you</v>
      </c>
      <c r="E38" s="18"/>
      <c r="F38" s="18"/>
      <c r="G38" s="18" t="str">
        <f>IFERROR(__xludf.DUMMYFUNCTION("""COMPUTED_VALUE"""),"false")</f>
        <v>false</v>
      </c>
      <c r="H38" s="18"/>
      <c r="I38" s="18"/>
      <c r="J38" s="18"/>
      <c r="K38" s="18"/>
    </row>
    <row r="39" ht="15.75" customHeight="1">
      <c r="A39" s="18" t="str">
        <f>IFERROR(__xludf.DUMMYFUNCTION("""COMPUTED_VALUE"""),"text")</f>
        <v>text</v>
      </c>
      <c r="B39" s="18" t="str">
        <f>IFERROR(__xludf.DUMMYFUNCTION("""COMPUTED_VALUE"""),"first_name")</f>
        <v>first_name</v>
      </c>
      <c r="C39" s="18" t="str">
        <f>IFERROR(__xludf.DUMMYFUNCTION("""COMPUTED_VALUE"""),"Wie lautet dein Vorname?")</f>
        <v>Wie lautet dein Vorname?</v>
      </c>
      <c r="D39" s="18" t="str">
        <f>IFERROR(__xludf.DUMMYFUNCTION("""COMPUTED_VALUE"""),"What is your first name?")</f>
        <v>What is your first name?</v>
      </c>
      <c r="E39" s="18"/>
      <c r="F39" s="18"/>
      <c r="G39" s="18" t="str">
        <f>IFERROR(__xludf.DUMMYFUNCTION("""COMPUTED_VALUE"""),"true")</f>
        <v>true</v>
      </c>
      <c r="H39" s="18"/>
      <c r="I39" s="18"/>
      <c r="J39" s="18"/>
      <c r="K39" s="18"/>
    </row>
    <row r="40" ht="15.75" customHeight="1">
      <c r="A40" s="18" t="str">
        <f>IFERROR(__xludf.DUMMYFUNCTION("""COMPUTED_VALUE"""),"text")</f>
        <v>text</v>
      </c>
      <c r="B40" s="18" t="str">
        <f>IFERROR(__xludf.DUMMYFUNCTION("""COMPUTED_VALUE"""),"last_name")</f>
        <v>last_name</v>
      </c>
      <c r="C40" s="18" t="str">
        <f>IFERROR(__xludf.DUMMYFUNCTION("""COMPUTED_VALUE"""),"Wie lautet dein Nachname?")</f>
        <v>Wie lautet dein Nachname?</v>
      </c>
      <c r="D40" s="18" t="str">
        <f>IFERROR(__xludf.DUMMYFUNCTION("""COMPUTED_VALUE"""),"What is your last name?")</f>
        <v>What is your last name?</v>
      </c>
      <c r="E40" s="18"/>
      <c r="F40" s="18"/>
      <c r="G40" s="18" t="str">
        <f>IFERROR(__xludf.DUMMYFUNCTION("""COMPUTED_VALUE"""),"true")</f>
        <v>true</v>
      </c>
      <c r="H40" s="18"/>
      <c r="I40" s="18"/>
      <c r="J40" s="18"/>
      <c r="K40" s="18"/>
    </row>
    <row r="41" ht="15.75" customHeight="1">
      <c r="A41" s="18" t="str">
        <f>IFERROR(__xludf.DUMMYFUNCTION("""COMPUTED_VALUE"""),"text")</f>
        <v>text</v>
      </c>
      <c r="B41" s="18" t="str">
        <f>IFERROR(__xludf.DUMMYFUNCTION("""COMPUTED_VALUE"""),"email_address")</f>
        <v>email_address</v>
      </c>
      <c r="C41" s="18" t="str">
        <f>IFERROR(__xludf.DUMMYFUNCTION("""COMPUTED_VALUE"""),"Unter welcher E-Mail Adresse können wir dich erreichen?")</f>
        <v>Unter welcher E-Mail Adresse können wir dich erreichen?</v>
      </c>
      <c r="D41" s="18" t="str">
        <f>IFERROR(__xludf.DUMMYFUNCTION("""COMPUTED_VALUE"""),"Which email address can we use to contact you?")</f>
        <v>Which email address can we use to contact you?</v>
      </c>
      <c r="E41" s="18"/>
      <c r="F41" s="18"/>
      <c r="G41" s="18" t="str">
        <f>IFERROR(__xludf.DUMMYFUNCTION("""COMPUTED_VALUE"""),"true")</f>
        <v>true</v>
      </c>
      <c r="H41" s="18"/>
      <c r="I41" s="18"/>
      <c r="J41" s="18" t="str">
        <f>IFERROR(__xludf.DUMMYFUNCTION("""COMPUTED_VALUE"""),"regex(., '^[\w-\.]+@([\w-]+\.)+[\w-]{2,}$')")</f>
        <v>regex(., '^[\w-\.]+@([\w-]+\.)+[\w-]{2,}$')</v>
      </c>
      <c r="K41" s="18" t="str">
        <f>IFERROR(__xludf.DUMMYFUNCTION("""COMPUTED_VALUE"""),"Please specify a valid email address.")</f>
        <v>Please specify a valid email address.</v>
      </c>
    </row>
    <row r="42" ht="15.75" customHeight="1">
      <c r="A42" s="18" t="str">
        <f>IFERROR(__xludf.DUMMYFUNCTION("""COMPUTED_VALUE"""),"select_one iy7os66")</f>
        <v>select_one iy7os66</v>
      </c>
      <c r="B42" s="18" t="str">
        <f>IFERROR(__xludf.DUMMYFUNCTION("""COMPUTED_VALUE"""),"gender")</f>
        <v>gender</v>
      </c>
      <c r="C42" s="18" t="str">
        <f>IFERROR(__xludf.DUMMYFUNCTION("""COMPUTED_VALUE"""),"Was ist dein Geschlecht?")</f>
        <v>Was ist dein Geschlecht?</v>
      </c>
      <c r="D42" s="18" t="str">
        <f>IFERROR(__xludf.DUMMYFUNCTION("""COMPUTED_VALUE"""),"What is your gender?")</f>
        <v>What is your gender?</v>
      </c>
      <c r="E42" s="18" t="str">
        <f>IFERROR(__xludf.DUMMYFUNCTION("""COMPUTED_VALUE"""),"Hinweis: Da wir bei CorrelAid nach dem Grundprinzip von Geschlechtergleichberechtigung arbeiten, ist diese Frage für uns besonders wichtig.")</f>
        <v>Hinweis: Da wir bei CorrelAid nach dem Grundprinzip von Geschlechtergleichberechtigung arbeiten, ist diese Frage für uns besonders wichtig.</v>
      </c>
      <c r="F42" s="18" t="str">
        <f>IFERROR(__xludf.DUMMYFUNCTION("""COMPUTED_VALUE"""),"Note: We ask this question because we want to foster gender diversity within CorrelAid.")</f>
        <v>Note: We ask this question because we want to foster gender diversity within CorrelAid.</v>
      </c>
      <c r="G42" s="18" t="str">
        <f>IFERROR(__xludf.DUMMYFUNCTION("""COMPUTED_VALUE"""),"true")</f>
        <v>true</v>
      </c>
      <c r="H42" s="18"/>
      <c r="I42" s="18"/>
      <c r="J42" s="18"/>
      <c r="K42" s="18"/>
    </row>
    <row r="43" ht="15.75" customHeight="1">
      <c r="A43" s="18" t="str">
        <f>IFERROR(__xludf.DUMMYFUNCTION("""COMPUTED_VALUE"""),"text")</f>
        <v>text</v>
      </c>
      <c r="B43" s="18" t="str">
        <f>IFERROR(__xludf.DUMMYFUNCTION("""COMPUTED_VALUE"""),"gender_self_identification")</f>
        <v>gender_self_identification</v>
      </c>
      <c r="C43" s="18" t="str">
        <f>IFERROR(__xludf.DUMMYFUNCTION("""COMPUTED_VALUE"""),"Mein Geschlecht ist:")</f>
        <v>Mein Geschlecht ist:</v>
      </c>
      <c r="D43" s="18" t="str">
        <f>IFERROR(__xludf.DUMMYFUNCTION("""COMPUTED_VALUE"""),"My gender is:")</f>
        <v>My gender is:</v>
      </c>
      <c r="E43" s="18" t="str">
        <f>IFERROR(__xludf.DUMMYFUNCTION("""COMPUTED_VALUE"""),"Bitte gebe hier dein Geschlecht an.")</f>
        <v>Bitte gebe hier dein Geschlecht an.</v>
      </c>
      <c r="F43" s="18" t="str">
        <f>IFERROR(__xludf.DUMMYFUNCTION("""COMPUTED_VALUE"""),"Please specify your gender here.")</f>
        <v>Please specify your gender here.</v>
      </c>
      <c r="G43" s="18" t="str">
        <f>IFERROR(__xludf.DUMMYFUNCTION("""COMPUTED_VALUE"""),"true")</f>
        <v>true</v>
      </c>
      <c r="H43" s="18"/>
      <c r="I43" s="18" t="str">
        <f>IFERROR(__xludf.DUMMYFUNCTION("""COMPUTED_VALUE"""),"${gender} = 'self_identification'")</f>
        <v>${gender} = 'self_identification'</v>
      </c>
      <c r="J43" s="18"/>
      <c r="K43" s="18"/>
    </row>
    <row r="44" ht="15.75" customHeight="1">
      <c r="A44" s="18" t="str">
        <f>IFERROR(__xludf.DUMMYFUNCTION("""COMPUTED_VALUE"""),"end_group")</f>
        <v>end_group</v>
      </c>
      <c r="B44" s="18"/>
      <c r="C44" s="18"/>
      <c r="D44" s="18"/>
      <c r="E44" s="18"/>
      <c r="F44" s="18"/>
      <c r="G44" s="18"/>
      <c r="H44" s="18"/>
      <c r="I44" s="18"/>
      <c r="J44" s="18"/>
      <c r="K44" s="18"/>
    </row>
    <row r="45" ht="15.75" customHeight="1">
      <c r="A45" s="18" t="str">
        <f>IFERROR(__xludf.DUMMYFUNCTION("""COMPUTED_VALUE"""),"select_one mj8ty33")</f>
        <v>select_one mj8ty33</v>
      </c>
      <c r="B45" s="18" t="str">
        <f>IFERROR(__xludf.DUMMYFUNCTION("""COMPUTED_VALUE"""),"consent_privacy_policy")</f>
        <v>consent_privacy_policy</v>
      </c>
      <c r="C45" s="18" t="str">
        <f>IFERROR(__xludf.DUMMYFUNCTION("""COMPUTED_VALUE"""),"Einwilligung in die Datenschutzerklärung")</f>
        <v>Einwilligung in die Datenschutzerklärung</v>
      </c>
      <c r="D45" s="18" t="str">
        <f>IFERROR(__xludf.DUMMYFUNCTION("""COMPUTED_VALUE"""),"Consent to privacy policy")</f>
        <v>Consent to privacy policy</v>
      </c>
      <c r="E45" s="18" t="str">
        <f>IFERROR(__xludf.DUMMYFUNCTION("""COMPUTED_VALUE"""),"Ich habe den Disclaimer gelesen und erteile hiermit meine Zustimmung zur Erhebung, Verarbeitung und Nutzung meiner personenbezogener Daten (Geschlecht und persönliche Fähigkeiten) zu internen und externen Reporting- und Präsentationszwecken. Daneben ertei"&amp;"le ich ausdrücklich die Erlaubnis meine Kontaktdaten (Name und E-Mail) zur Kontaktaufnahme zu nutzen und diese bei erfolgreicher Bewerbung mit dem Projektteam zu teilen.")</f>
        <v>Ich habe den Disclaimer gelesen und erteile hiermit meine Zustimmung zur Erhebung, Verarbeitung und Nutzung meiner personenbezogener Daten (Geschlecht und persönliche Fähigkeiten) zu internen und externen Reporting- und Präsentationszwecken. Daneben erteile ich ausdrücklich die Erlaubnis meine Kontaktdaten (Name und E-Mail) zur Kontaktaufnahme zu nutzen und diese bei erfolgreicher Bewerbung mit dem Projektteam zu teilen.</v>
      </c>
      <c r="F45" s="18" t="str">
        <f>IFERROR(__xludf.DUMMYFUNCTION("""COMPUTED_VALUE"""),"I have read the disclaimer and hereby give my consent to the collection, processing and use of my personal data (gender and personal skills) for the team selection process and for internal and external reporting as well as presentation purposes. In additi"&amp;"on, I expressly grant permission to use my contact details (name and e-mail) to contact me and to share them with the project team if the application is successful.")</f>
        <v>I have read the disclaimer and hereby give my consent to the collection, processing and use of my personal data (gender and personal skills) for the team selection process and for internal and external reporting as well as presentation purposes. In addition, I expressly grant permission to use my contact details (name and e-mail) to contact me and to share them with the project team if the application is successful.</v>
      </c>
      <c r="G45" s="18" t="str">
        <f>IFERROR(__xludf.DUMMYFUNCTION("""COMPUTED_VALUE"""),"true")</f>
        <v>true</v>
      </c>
      <c r="H45" s="18"/>
      <c r="I45" s="18"/>
      <c r="J45" s="18"/>
      <c r="K45" s="18"/>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sheetData>
  <printOptions/>
  <pageMargins bottom="0.75" footer="0.0" header="0.0" left="0.7" right="0.7" top="0.75"/>
  <pageSetup orientation="landscape"/>
  <drawing r:id="rId1"/>
  <tableParts count="1">
    <tablePart r:id="rId3"/>
  </tableParts>
</worksheet>
</file>